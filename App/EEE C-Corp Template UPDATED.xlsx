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defaultThemeVersion="166925"/>
  <mc:AlternateContent xmlns:mc="http://schemas.openxmlformats.org/markup-compatibility/2006">
    <mc:Choice Requires="x15">
      <x15ac:absPath xmlns:x15ac="http://schemas.microsoft.com/office/spreadsheetml/2010/11/ac" url="https://sumailsyr-my.sharepoint.com/personal/kpwalsle_syr_edu/Documents/My OneDrive Document/Excel/EEE457/"/>
    </mc:Choice>
  </mc:AlternateContent>
  <xr:revisionPtr revIDLastSave="72" documentId="8_{E25C764F-36CC-4237-AAFA-82ABF53C0050}" xr6:coauthVersionLast="47" xr6:coauthVersionMax="47" xr10:uidLastSave="{2E884C27-46F0-43A1-8007-F585F5626017}"/>
  <bookViews>
    <workbookView xWindow="-120" yWindow="-120" windowWidth="29040" windowHeight="15840" activeTab="1" xr2:uid="{00000000-000D-0000-FFFF-FFFF00000000}"/>
  </bookViews>
  <sheets>
    <sheet name="How to use this template." sheetId="9" r:id="rId1"/>
    <sheet name="Income Statement Assumptions" sheetId="1" r:id="rId2"/>
    <sheet name="Balance Sheet Assumptions" sheetId="2" r:id="rId3"/>
    <sheet name="Fixed Asset Assumptions" sheetId="3" r:id="rId4"/>
    <sheet name="Income Statement" sheetId="4" r:id="rId5"/>
    <sheet name="Statement of Retained Earnings" sheetId="5" r:id="rId6"/>
    <sheet name="Balance Sheet" sheetId="6" r:id="rId7"/>
    <sheet name="Cash Flow Statement" sheetId="7" r:id="rId8"/>
    <sheet name="Valuation" sheetId="8" r:id="rId9"/>
  </sheets>
  <definedNames>
    <definedName name="_xlnm.Print_Area" localSheetId="6">'Balance Sheet'!$A$1:$AI$45</definedName>
    <definedName name="_xlnm.Print_Area" localSheetId="7">'Cash Flow Statement'!$A$1:$AL$35</definedName>
    <definedName name="_xlnm.Print_Area" localSheetId="4">'Income Statement'!$A$1:$AL$69</definedName>
    <definedName name="_xlnm.Print_Area" localSheetId="5">'Statement of Retained Earnings'!$A$1:$AH$9</definedName>
    <definedName name="_xlnm.Print_Titles" localSheetId="6">'Balance Sheet'!$A:$B</definedName>
    <definedName name="_xlnm.Print_Titles" localSheetId="7">'Cash Flow Statement'!$A:$A</definedName>
    <definedName name="_xlnm.Print_Titles" localSheetId="4">'Income Statement'!$A:$A</definedName>
    <definedName name="_xlnm.Print_Titles" localSheetId="5">'Statement of Retained Earnings'!$A:$A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 r="H11" i="1" s="1"/>
  <c r="I11" i="1" s="1"/>
  <c r="B103" i="1"/>
  <c r="Z51" i="4"/>
  <c r="Z52" i="4"/>
  <c r="P51" i="4"/>
  <c r="Q51" i="4"/>
  <c r="R51" i="4"/>
  <c r="S51" i="4"/>
  <c r="T51" i="4"/>
  <c r="U51" i="4"/>
  <c r="V51" i="4"/>
  <c r="W51" i="4"/>
  <c r="X51" i="4"/>
  <c r="Y51" i="4"/>
  <c r="P52" i="4"/>
  <c r="Q52" i="4"/>
  <c r="R52" i="4"/>
  <c r="S52" i="4"/>
  <c r="T52" i="4"/>
  <c r="U52" i="4"/>
  <c r="V52" i="4"/>
  <c r="W52" i="4"/>
  <c r="X52" i="4"/>
  <c r="Y52" i="4"/>
  <c r="O52" i="4"/>
  <c r="O51" i="4"/>
  <c r="P37" i="4"/>
  <c r="Q37" i="4"/>
  <c r="R37" i="4"/>
  <c r="S37" i="4"/>
  <c r="T37" i="4"/>
  <c r="U37" i="4"/>
  <c r="V37" i="4"/>
  <c r="W37" i="4"/>
  <c r="X37" i="4"/>
  <c r="Y37" i="4"/>
  <c r="Z37" i="4"/>
  <c r="P38" i="4"/>
  <c r="Q38" i="4"/>
  <c r="R38" i="4"/>
  <c r="S38" i="4"/>
  <c r="T38" i="4"/>
  <c r="U38" i="4"/>
  <c r="V38" i="4"/>
  <c r="W38" i="4"/>
  <c r="X38" i="4"/>
  <c r="Y38" i="4"/>
  <c r="Z38" i="4"/>
  <c r="P39" i="4"/>
  <c r="Q39" i="4"/>
  <c r="R39" i="4"/>
  <c r="S39" i="4"/>
  <c r="T39" i="4"/>
  <c r="U39" i="4"/>
  <c r="V39" i="4"/>
  <c r="W39" i="4"/>
  <c r="X39" i="4"/>
  <c r="Y39" i="4"/>
  <c r="Z39" i="4"/>
  <c r="P41" i="4"/>
  <c r="Q41" i="4"/>
  <c r="R41" i="4"/>
  <c r="S41" i="4"/>
  <c r="T41" i="4"/>
  <c r="U41" i="4"/>
  <c r="V41" i="4"/>
  <c r="W41" i="4"/>
  <c r="X41" i="4"/>
  <c r="Y41" i="4"/>
  <c r="Z41" i="4"/>
  <c r="P42" i="4"/>
  <c r="Q42" i="4"/>
  <c r="R42" i="4"/>
  <c r="S42" i="4"/>
  <c r="T42" i="4"/>
  <c r="U42" i="4"/>
  <c r="V42" i="4"/>
  <c r="W42" i="4"/>
  <c r="X42" i="4"/>
  <c r="Y42" i="4"/>
  <c r="Z42" i="4"/>
  <c r="P43" i="4"/>
  <c r="Q43" i="4"/>
  <c r="R43" i="4"/>
  <c r="S43" i="4"/>
  <c r="T43" i="4"/>
  <c r="U43" i="4"/>
  <c r="V43" i="4"/>
  <c r="W43" i="4"/>
  <c r="X43" i="4"/>
  <c r="Y43" i="4"/>
  <c r="Z43" i="4"/>
  <c r="P44" i="4"/>
  <c r="Q44" i="4"/>
  <c r="R44" i="4"/>
  <c r="S44" i="4"/>
  <c r="T44" i="4"/>
  <c r="U44" i="4"/>
  <c r="V44" i="4"/>
  <c r="W44" i="4"/>
  <c r="X44" i="4"/>
  <c r="Y44" i="4"/>
  <c r="Z44" i="4"/>
  <c r="P46" i="4"/>
  <c r="Q46" i="4"/>
  <c r="R46" i="4"/>
  <c r="S46" i="4"/>
  <c r="T46" i="4"/>
  <c r="U46" i="4"/>
  <c r="V46" i="4"/>
  <c r="W46" i="4"/>
  <c r="X46" i="4"/>
  <c r="Y46" i="4"/>
  <c r="Z46" i="4"/>
  <c r="P47" i="4"/>
  <c r="Q47" i="4"/>
  <c r="R47" i="4"/>
  <c r="S47" i="4"/>
  <c r="T47" i="4"/>
  <c r="U47" i="4"/>
  <c r="V47" i="4"/>
  <c r="W47" i="4"/>
  <c r="X47" i="4"/>
  <c r="Y47" i="4"/>
  <c r="Z47" i="4"/>
  <c r="P48" i="4"/>
  <c r="Q48" i="4"/>
  <c r="R48" i="4"/>
  <c r="S48" i="4"/>
  <c r="T48" i="4"/>
  <c r="U48" i="4"/>
  <c r="V48" i="4"/>
  <c r="W48" i="4"/>
  <c r="X48" i="4"/>
  <c r="Y48" i="4"/>
  <c r="Z48" i="4"/>
  <c r="O48" i="4"/>
  <c r="O46" i="4"/>
  <c r="O47" i="4"/>
  <c r="O42" i="4"/>
  <c r="O41" i="4"/>
  <c r="O39" i="4"/>
  <c r="O37" i="4"/>
  <c r="AC39" i="4"/>
  <c r="AE52" i="4" l="1"/>
  <c r="O8" i="5"/>
  <c r="P8" i="5"/>
  <c r="Q8" i="5"/>
  <c r="R8" i="5"/>
  <c r="S8" i="5"/>
  <c r="T8" i="5"/>
  <c r="U8" i="5"/>
  <c r="V8" i="5"/>
  <c r="W8" i="5"/>
  <c r="X8" i="5"/>
  <c r="Y8" i="5"/>
  <c r="N8" i="5"/>
  <c r="C8" i="5"/>
  <c r="D8" i="5"/>
  <c r="E8" i="5"/>
  <c r="F8" i="5"/>
  <c r="G8" i="5"/>
  <c r="H8" i="5"/>
  <c r="I8" i="5"/>
  <c r="J8" i="5"/>
  <c r="K8" i="5"/>
  <c r="L8" i="5"/>
  <c r="M8" i="5"/>
  <c r="B8" i="5"/>
  <c r="E12" i="8" l="1"/>
  <c r="G12" i="8"/>
  <c r="AB39" i="7"/>
  <c r="AC39" i="7"/>
  <c r="AD39" i="7"/>
  <c r="AE39" i="7"/>
  <c r="AF39" i="7"/>
  <c r="AG39" i="7"/>
  <c r="AH39" i="7"/>
  <c r="AI39" i="7"/>
  <c r="AJ39" i="7"/>
  <c r="AK39" i="7"/>
  <c r="AL39" i="7"/>
  <c r="AA39" i="7"/>
  <c r="Z39" i="7"/>
  <c r="Y39" i="7"/>
  <c r="X39" i="7"/>
  <c r="W39" i="7"/>
  <c r="V39" i="7"/>
  <c r="U39" i="7"/>
  <c r="T39" i="7"/>
  <c r="S39" i="7"/>
  <c r="R39" i="7"/>
  <c r="Q39" i="7"/>
  <c r="P39" i="7"/>
  <c r="O39" i="7"/>
  <c r="AA27" i="7"/>
  <c r="AB27" i="7" s="1"/>
  <c r="C39" i="7"/>
  <c r="D39" i="7"/>
  <c r="E39" i="7"/>
  <c r="F39" i="7"/>
  <c r="G39" i="7"/>
  <c r="H39" i="7"/>
  <c r="I39" i="7"/>
  <c r="J39" i="7"/>
  <c r="K39" i="7"/>
  <c r="L39" i="7"/>
  <c r="M39" i="7"/>
  <c r="N39" i="7"/>
  <c r="B39" i="7"/>
  <c r="N33" i="7"/>
  <c r="N27" i="7"/>
  <c r="O1" i="7"/>
  <c r="AB1" i="7" s="1"/>
  <c r="C41" i="6"/>
  <c r="B26" i="7" s="1"/>
  <c r="C40" i="6"/>
  <c r="B25" i="7" s="1"/>
  <c r="O1" i="6"/>
  <c r="AA1" i="6" s="1"/>
  <c r="AK36" i="4"/>
  <c r="AF36" i="4"/>
  <c r="N1" i="5"/>
  <c r="Z1" i="5" s="1"/>
  <c r="B38" i="4"/>
  <c r="C38" i="4"/>
  <c r="D38" i="4"/>
  <c r="E38" i="4"/>
  <c r="F38" i="4"/>
  <c r="G38" i="4"/>
  <c r="H38" i="4"/>
  <c r="I38" i="4"/>
  <c r="J38" i="4"/>
  <c r="K38" i="4"/>
  <c r="L38" i="4"/>
  <c r="M38" i="4"/>
  <c r="B40" i="4"/>
  <c r="C40" i="4"/>
  <c r="D40" i="4"/>
  <c r="E40" i="4"/>
  <c r="F40" i="4"/>
  <c r="G40" i="4"/>
  <c r="H40" i="4"/>
  <c r="I40" i="4"/>
  <c r="J40" i="4"/>
  <c r="K40" i="4"/>
  <c r="L40" i="4"/>
  <c r="M40" i="4"/>
  <c r="B41" i="4"/>
  <c r="C41" i="4"/>
  <c r="D41" i="4"/>
  <c r="E41" i="4"/>
  <c r="F41" i="4"/>
  <c r="G41" i="4"/>
  <c r="H41" i="4"/>
  <c r="I41" i="4"/>
  <c r="J41" i="4"/>
  <c r="K41" i="4"/>
  <c r="L41" i="4"/>
  <c r="M41" i="4"/>
  <c r="B42" i="4"/>
  <c r="C42" i="4"/>
  <c r="D42" i="4"/>
  <c r="E42" i="4"/>
  <c r="F42" i="4"/>
  <c r="G42" i="4"/>
  <c r="H42" i="4"/>
  <c r="I42" i="4"/>
  <c r="J42" i="4"/>
  <c r="K42" i="4"/>
  <c r="L42" i="4"/>
  <c r="M42" i="4"/>
  <c r="I46" i="4"/>
  <c r="J46" i="4"/>
  <c r="K46" i="4"/>
  <c r="L46" i="4"/>
  <c r="M46" i="4"/>
  <c r="B47" i="4"/>
  <c r="C47" i="4"/>
  <c r="D47" i="4"/>
  <c r="E47" i="4"/>
  <c r="F47" i="4"/>
  <c r="G47" i="4"/>
  <c r="H47" i="4"/>
  <c r="I47" i="4"/>
  <c r="J47" i="4"/>
  <c r="K47" i="4"/>
  <c r="L47" i="4"/>
  <c r="M47" i="4"/>
  <c r="B48" i="4"/>
  <c r="C48" i="4"/>
  <c r="D48" i="4"/>
  <c r="E48" i="4"/>
  <c r="F48" i="4"/>
  <c r="G48" i="4"/>
  <c r="H48" i="4"/>
  <c r="I48" i="4"/>
  <c r="J48" i="4"/>
  <c r="K48" i="4"/>
  <c r="L48" i="4"/>
  <c r="M48" i="4"/>
  <c r="B49" i="4"/>
  <c r="C49" i="4"/>
  <c r="D49" i="4"/>
  <c r="E49" i="4"/>
  <c r="F49" i="4"/>
  <c r="G49" i="4"/>
  <c r="H49" i="4"/>
  <c r="I49" i="4"/>
  <c r="J49" i="4"/>
  <c r="K49" i="4"/>
  <c r="L49" i="4"/>
  <c r="M49" i="4"/>
  <c r="B51" i="4"/>
  <c r="C51" i="4"/>
  <c r="D51" i="4"/>
  <c r="E51" i="4"/>
  <c r="F51" i="4"/>
  <c r="G51" i="4"/>
  <c r="H51" i="4"/>
  <c r="I51" i="4"/>
  <c r="J51" i="4"/>
  <c r="K51" i="4"/>
  <c r="L51" i="4"/>
  <c r="M51" i="4"/>
  <c r="B52" i="4"/>
  <c r="C52" i="4"/>
  <c r="D52" i="4"/>
  <c r="E52" i="4"/>
  <c r="F52" i="4"/>
  <c r="G52" i="4"/>
  <c r="H52" i="4"/>
  <c r="I52" i="4"/>
  <c r="J52" i="4"/>
  <c r="K52" i="4"/>
  <c r="L52" i="4"/>
  <c r="M52" i="4"/>
  <c r="B53" i="4"/>
  <c r="C53" i="4"/>
  <c r="D53" i="4"/>
  <c r="E53" i="4"/>
  <c r="F53" i="4"/>
  <c r="G53" i="4"/>
  <c r="H53" i="4"/>
  <c r="I53" i="4"/>
  <c r="J53" i="4"/>
  <c r="K53" i="4"/>
  <c r="L53" i="4"/>
  <c r="M53" i="4"/>
  <c r="B54" i="4"/>
  <c r="C54" i="4"/>
  <c r="D54" i="4"/>
  <c r="E54" i="4"/>
  <c r="F54" i="4"/>
  <c r="G54" i="4"/>
  <c r="H54" i="4"/>
  <c r="I54" i="4"/>
  <c r="J54" i="4"/>
  <c r="K54" i="4"/>
  <c r="L54" i="4"/>
  <c r="M54" i="4"/>
  <c r="B55" i="4"/>
  <c r="C55" i="4"/>
  <c r="D55" i="4"/>
  <c r="E55" i="4"/>
  <c r="F55" i="4"/>
  <c r="G55" i="4"/>
  <c r="H55" i="4"/>
  <c r="I55" i="4"/>
  <c r="J55" i="4"/>
  <c r="K55" i="4"/>
  <c r="L55" i="4"/>
  <c r="M55" i="4"/>
  <c r="B56" i="4"/>
  <c r="C56" i="4"/>
  <c r="D56" i="4"/>
  <c r="E56" i="4"/>
  <c r="F56" i="4"/>
  <c r="G56" i="4"/>
  <c r="H56" i="4"/>
  <c r="I56" i="4"/>
  <c r="J56" i="4"/>
  <c r="K56" i="4"/>
  <c r="L56" i="4"/>
  <c r="M56" i="4"/>
  <c r="B57" i="4"/>
  <c r="C57" i="4"/>
  <c r="D57" i="4"/>
  <c r="E57" i="4"/>
  <c r="F57" i="4"/>
  <c r="G57" i="4"/>
  <c r="H57" i="4"/>
  <c r="I57" i="4"/>
  <c r="J57" i="4"/>
  <c r="K57" i="4"/>
  <c r="L57" i="4"/>
  <c r="M57" i="4"/>
  <c r="B58" i="4"/>
  <c r="C58" i="4"/>
  <c r="D58" i="4"/>
  <c r="E58" i="4"/>
  <c r="F58" i="4"/>
  <c r="G58" i="4"/>
  <c r="H58" i="4"/>
  <c r="I58" i="4"/>
  <c r="J58" i="4"/>
  <c r="K58" i="4"/>
  <c r="L58" i="4"/>
  <c r="M58" i="4"/>
  <c r="B59" i="4"/>
  <c r="C59" i="4"/>
  <c r="D59" i="4"/>
  <c r="E59" i="4"/>
  <c r="F59" i="4"/>
  <c r="G59" i="4"/>
  <c r="H59" i="4"/>
  <c r="I59" i="4"/>
  <c r="J59" i="4"/>
  <c r="K59" i="4"/>
  <c r="L59" i="4"/>
  <c r="M59" i="4"/>
  <c r="C37" i="4"/>
  <c r="D37" i="4"/>
  <c r="E37" i="4"/>
  <c r="F37" i="4"/>
  <c r="G37" i="4"/>
  <c r="H37" i="4"/>
  <c r="I37" i="4"/>
  <c r="J37" i="4"/>
  <c r="K37" i="4"/>
  <c r="L37" i="4"/>
  <c r="M37" i="4"/>
  <c r="B37" i="4"/>
  <c r="AA36" i="4"/>
  <c r="B36" i="4"/>
  <c r="AA25" i="4"/>
  <c r="A25" i="4"/>
  <c r="A19" i="4"/>
  <c r="A13" i="4"/>
  <c r="A58" i="4"/>
  <c r="A59" i="4"/>
  <c r="A53" i="4"/>
  <c r="A54" i="4"/>
  <c r="A55" i="4"/>
  <c r="A56" i="4"/>
  <c r="A57" i="4"/>
  <c r="A36" i="4"/>
  <c r="A37" i="4"/>
  <c r="A38" i="4"/>
  <c r="A39" i="4"/>
  <c r="A40" i="4"/>
  <c r="A41" i="4"/>
  <c r="A42" i="4"/>
  <c r="A43" i="4"/>
  <c r="A8" i="7" s="1"/>
  <c r="A44" i="4"/>
  <c r="A9" i="7" s="1"/>
  <c r="A45" i="4"/>
  <c r="A46" i="4"/>
  <c r="A47" i="4"/>
  <c r="A48" i="4"/>
  <c r="A49" i="4"/>
  <c r="A50" i="4"/>
  <c r="A51" i="4"/>
  <c r="A52" i="4"/>
  <c r="A35" i="4"/>
  <c r="C27" i="4"/>
  <c r="D27" i="4"/>
  <c r="E27" i="4"/>
  <c r="F27" i="4"/>
  <c r="G27" i="4"/>
  <c r="H27" i="4"/>
  <c r="I27" i="4"/>
  <c r="J27" i="4"/>
  <c r="K27" i="4"/>
  <c r="L27" i="4"/>
  <c r="M27" i="4"/>
  <c r="C28" i="4"/>
  <c r="D28" i="4"/>
  <c r="E28" i="4"/>
  <c r="F28" i="4"/>
  <c r="G28" i="4"/>
  <c r="H28" i="4"/>
  <c r="I28" i="4"/>
  <c r="J28" i="4"/>
  <c r="K28" i="4"/>
  <c r="L28" i="4"/>
  <c r="M28" i="4"/>
  <c r="C29" i="4"/>
  <c r="D29" i="4"/>
  <c r="E29" i="4"/>
  <c r="F29" i="4"/>
  <c r="G29" i="4"/>
  <c r="H29" i="4"/>
  <c r="I29" i="4"/>
  <c r="J29" i="4"/>
  <c r="K29" i="4"/>
  <c r="L29" i="4"/>
  <c r="M29" i="4"/>
  <c r="B29" i="4"/>
  <c r="B28" i="4"/>
  <c r="B27" i="4"/>
  <c r="C26" i="4"/>
  <c r="D26" i="4"/>
  <c r="E26" i="4"/>
  <c r="F26" i="4"/>
  <c r="G26" i="4"/>
  <c r="H26" i="4"/>
  <c r="I26" i="4"/>
  <c r="J26" i="4"/>
  <c r="K26" i="4"/>
  <c r="L26" i="4"/>
  <c r="M26" i="4"/>
  <c r="B26" i="4"/>
  <c r="C23" i="4"/>
  <c r="D23" i="4"/>
  <c r="E23" i="4"/>
  <c r="F23" i="4"/>
  <c r="G23" i="4"/>
  <c r="H23" i="4"/>
  <c r="I23" i="4"/>
  <c r="J23" i="4"/>
  <c r="K23" i="4"/>
  <c r="L23" i="4"/>
  <c r="M23" i="4"/>
  <c r="B23" i="4"/>
  <c r="C22" i="4"/>
  <c r="D22" i="4"/>
  <c r="E22" i="4"/>
  <c r="F22" i="4"/>
  <c r="G22" i="4"/>
  <c r="H22" i="4"/>
  <c r="I22" i="4"/>
  <c r="J22" i="4"/>
  <c r="K22" i="4"/>
  <c r="L22" i="4"/>
  <c r="M22" i="4"/>
  <c r="B22" i="4"/>
  <c r="C21" i="4"/>
  <c r="D21" i="4"/>
  <c r="E21" i="4"/>
  <c r="F21" i="4"/>
  <c r="G21" i="4"/>
  <c r="H21" i="4"/>
  <c r="I21" i="4"/>
  <c r="J21" i="4"/>
  <c r="K21" i="4"/>
  <c r="L21" i="4"/>
  <c r="M21" i="4"/>
  <c r="B21" i="4"/>
  <c r="C20" i="4"/>
  <c r="D20" i="4"/>
  <c r="E20" i="4"/>
  <c r="F20" i="4"/>
  <c r="G20" i="4"/>
  <c r="H20" i="4"/>
  <c r="I20" i="4"/>
  <c r="J20" i="4"/>
  <c r="K20" i="4"/>
  <c r="L20" i="4"/>
  <c r="M20" i="4"/>
  <c r="B20" i="4"/>
  <c r="B15" i="4"/>
  <c r="C15" i="4"/>
  <c r="D15" i="4"/>
  <c r="E15" i="4"/>
  <c r="F15" i="4"/>
  <c r="G15" i="4"/>
  <c r="H15" i="4"/>
  <c r="I15" i="4"/>
  <c r="J15" i="4"/>
  <c r="K15" i="4"/>
  <c r="L15" i="4"/>
  <c r="M15" i="4"/>
  <c r="A27" i="4"/>
  <c r="A28" i="4"/>
  <c r="A29" i="4"/>
  <c r="A26" i="4"/>
  <c r="A21" i="4"/>
  <c r="A22" i="4"/>
  <c r="A23" i="4"/>
  <c r="A20" i="4"/>
  <c r="C17" i="4"/>
  <c r="D17" i="4"/>
  <c r="E17" i="4"/>
  <c r="F17" i="4"/>
  <c r="G17" i="4"/>
  <c r="H17" i="4"/>
  <c r="I17" i="4"/>
  <c r="J17" i="4"/>
  <c r="K17" i="4"/>
  <c r="L17" i="4"/>
  <c r="M17" i="4"/>
  <c r="B17" i="4"/>
  <c r="C16" i="4"/>
  <c r="D16" i="4"/>
  <c r="E16" i="4"/>
  <c r="F16" i="4"/>
  <c r="G16" i="4"/>
  <c r="H16" i="4"/>
  <c r="I16" i="4"/>
  <c r="J16" i="4"/>
  <c r="K16" i="4"/>
  <c r="L16" i="4"/>
  <c r="M16" i="4"/>
  <c r="B16" i="4"/>
  <c r="A15" i="4"/>
  <c r="A16" i="4"/>
  <c r="A17" i="4"/>
  <c r="A14" i="4"/>
  <c r="C14" i="4"/>
  <c r="D14" i="4"/>
  <c r="E14" i="4"/>
  <c r="F14" i="4"/>
  <c r="G14" i="4"/>
  <c r="H14" i="4"/>
  <c r="I14" i="4"/>
  <c r="J14" i="4"/>
  <c r="K14" i="4"/>
  <c r="L14" i="4"/>
  <c r="M14" i="4"/>
  <c r="B14" i="4"/>
  <c r="C8" i="4"/>
  <c r="D8" i="4"/>
  <c r="E8" i="4"/>
  <c r="F8" i="4"/>
  <c r="G8" i="4"/>
  <c r="H8" i="4"/>
  <c r="I8" i="4"/>
  <c r="J8" i="4"/>
  <c r="K8" i="4"/>
  <c r="L8" i="4"/>
  <c r="M8" i="4"/>
  <c r="B8" i="4"/>
  <c r="C7" i="4"/>
  <c r="D7" i="4"/>
  <c r="E7" i="4"/>
  <c r="F7" i="4"/>
  <c r="G7" i="4"/>
  <c r="H7" i="4"/>
  <c r="I7" i="4"/>
  <c r="J7" i="4"/>
  <c r="K7" i="4"/>
  <c r="L7" i="4"/>
  <c r="M7" i="4"/>
  <c r="B7" i="4"/>
  <c r="C6" i="4"/>
  <c r="D6" i="4"/>
  <c r="D10" i="4" s="1"/>
  <c r="E9" i="6" s="1"/>
  <c r="E6" i="4"/>
  <c r="E10" i="4" s="1"/>
  <c r="F9" i="6" s="1"/>
  <c r="F6" i="4"/>
  <c r="G6" i="4"/>
  <c r="G10" i="4" s="1"/>
  <c r="H9" i="6" s="1"/>
  <c r="H6" i="4"/>
  <c r="I6" i="4"/>
  <c r="I10" i="4" s="1"/>
  <c r="J9" i="6" s="1"/>
  <c r="J6" i="4"/>
  <c r="K6" i="4"/>
  <c r="L6" i="4"/>
  <c r="L10" i="4" s="1"/>
  <c r="M9" i="6" s="1"/>
  <c r="M6" i="4"/>
  <c r="M10" i="4" s="1"/>
  <c r="N9" i="6" s="1"/>
  <c r="N10" i="7" s="1"/>
  <c r="B6" i="4"/>
  <c r="B23" i="3"/>
  <c r="O1" i="4"/>
  <c r="AB1" i="4" s="1"/>
  <c r="C41" i="3"/>
  <c r="D41" i="3"/>
  <c r="E41" i="3"/>
  <c r="F41" i="3"/>
  <c r="B41" i="3"/>
  <c r="B43" i="3" s="1"/>
  <c r="B47" i="3" s="1"/>
  <c r="B49" i="3" s="1"/>
  <c r="D44" i="4" s="1"/>
  <c r="D9" i="7" s="1"/>
  <c r="F45" i="3"/>
  <c r="E27" i="3"/>
  <c r="F27" i="3" s="1"/>
  <c r="B25" i="3"/>
  <c r="B29" i="3" s="1"/>
  <c r="B31" i="3" s="1"/>
  <c r="F43" i="4" s="1"/>
  <c r="F8" i="7" s="1"/>
  <c r="C23" i="3"/>
  <c r="D23" i="3"/>
  <c r="E23" i="3"/>
  <c r="F23" i="3"/>
  <c r="F140" i="1"/>
  <c r="G140" i="1"/>
  <c r="AE55" i="4" s="1"/>
  <c r="H140" i="1"/>
  <c r="AH55" i="4" s="1"/>
  <c r="I140" i="1"/>
  <c r="AL55" i="4" s="1"/>
  <c r="F125" i="1"/>
  <c r="G125" i="1"/>
  <c r="AB40" i="4" s="1"/>
  <c r="H125" i="1"/>
  <c r="AG40" i="4" s="1"/>
  <c r="I125" i="1"/>
  <c r="AL40" i="4" s="1"/>
  <c r="F126" i="1"/>
  <c r="G126" i="1"/>
  <c r="AE41" i="4" s="1"/>
  <c r="H126" i="1"/>
  <c r="AG41" i="4" s="1"/>
  <c r="I126" i="1"/>
  <c r="AL41" i="4" s="1"/>
  <c r="N70" i="1"/>
  <c r="N38" i="1"/>
  <c r="N6" i="1"/>
  <c r="I144" i="1"/>
  <c r="AL59" i="4" s="1"/>
  <c r="H144" i="1"/>
  <c r="AG59" i="4" s="1"/>
  <c r="G144" i="1"/>
  <c r="AC59" i="4" s="1"/>
  <c r="F144" i="1"/>
  <c r="I143" i="1"/>
  <c r="AL58" i="4" s="1"/>
  <c r="H143" i="1"/>
  <c r="AJ58" i="4" s="1"/>
  <c r="G143" i="1"/>
  <c r="AE58" i="4" s="1"/>
  <c r="F143" i="1"/>
  <c r="I142" i="1"/>
  <c r="AL57" i="4" s="1"/>
  <c r="H142" i="1"/>
  <c r="AG57" i="4" s="1"/>
  <c r="G142" i="1"/>
  <c r="AD57" i="4" s="1"/>
  <c r="F142" i="1"/>
  <c r="I141" i="1"/>
  <c r="AL56" i="4" s="1"/>
  <c r="H141" i="1"/>
  <c r="AJ56" i="4" s="1"/>
  <c r="G141" i="1"/>
  <c r="AE56" i="4" s="1"/>
  <c r="F141" i="1"/>
  <c r="I139" i="1"/>
  <c r="AL54" i="4" s="1"/>
  <c r="H139" i="1"/>
  <c r="AI54" i="4" s="1"/>
  <c r="G139" i="1"/>
  <c r="AD54" i="4" s="1"/>
  <c r="F139" i="1"/>
  <c r="I138" i="1"/>
  <c r="AL53" i="4" s="1"/>
  <c r="H138" i="1"/>
  <c r="AG53" i="4" s="1"/>
  <c r="G138" i="1"/>
  <c r="AB53" i="4" s="1"/>
  <c r="F138" i="1"/>
  <c r="I137" i="1"/>
  <c r="AL52" i="4" s="1"/>
  <c r="H137" i="1"/>
  <c r="AI52" i="4" s="1"/>
  <c r="G137" i="1"/>
  <c r="AC52" i="4" s="1"/>
  <c r="F137" i="1"/>
  <c r="I136" i="1"/>
  <c r="AL51" i="4" s="1"/>
  <c r="H136" i="1"/>
  <c r="AG51" i="4" s="1"/>
  <c r="G136" i="1"/>
  <c r="AB51" i="4" s="1"/>
  <c r="F136" i="1"/>
  <c r="F127" i="1"/>
  <c r="G127" i="1"/>
  <c r="AE42" i="4" s="1"/>
  <c r="H127" i="1"/>
  <c r="AG42" i="4" s="1"/>
  <c r="I127" i="1"/>
  <c r="AL42" i="4" s="1"/>
  <c r="F131" i="1"/>
  <c r="G131" i="1"/>
  <c r="AD46" i="4" s="1"/>
  <c r="H131" i="1"/>
  <c r="AG46" i="4" s="1"/>
  <c r="I131" i="1"/>
  <c r="AL46" i="4" s="1"/>
  <c r="F132" i="1"/>
  <c r="G132" i="1"/>
  <c r="AC47" i="4" s="1"/>
  <c r="H132" i="1"/>
  <c r="AG47" i="4" s="1"/>
  <c r="I132" i="1"/>
  <c r="AL47" i="4" s="1"/>
  <c r="F133" i="1"/>
  <c r="G133" i="1"/>
  <c r="AE48" i="4" s="1"/>
  <c r="H133" i="1"/>
  <c r="AG48" i="4" s="1"/>
  <c r="I133" i="1"/>
  <c r="AL48" i="4" s="1"/>
  <c r="F134" i="1"/>
  <c r="G134" i="1"/>
  <c r="AD49" i="4" s="1"/>
  <c r="H134" i="1"/>
  <c r="AI49" i="4" s="1"/>
  <c r="I134" i="1"/>
  <c r="AL49" i="4" s="1"/>
  <c r="I124" i="1"/>
  <c r="AL39" i="4" s="1"/>
  <c r="H124" i="1"/>
  <c r="AH39" i="4" s="1"/>
  <c r="G124" i="1"/>
  <c r="F124" i="1"/>
  <c r="I123" i="1"/>
  <c r="AL38" i="4" s="1"/>
  <c r="H123" i="1"/>
  <c r="AH38" i="4" s="1"/>
  <c r="G123" i="1"/>
  <c r="AC38" i="4" s="1"/>
  <c r="F123" i="1"/>
  <c r="I122" i="1"/>
  <c r="AL37" i="4" s="1"/>
  <c r="H122" i="1"/>
  <c r="AH37" i="4" s="1"/>
  <c r="G122" i="1"/>
  <c r="AB37" i="4" s="1"/>
  <c r="F122" i="1"/>
  <c r="I116" i="1"/>
  <c r="H116" i="1"/>
  <c r="G116" i="1"/>
  <c r="F116" i="1"/>
  <c r="I115" i="1"/>
  <c r="H115" i="1"/>
  <c r="G115" i="1"/>
  <c r="F115" i="1"/>
  <c r="I114" i="1"/>
  <c r="H114" i="1"/>
  <c r="G114" i="1"/>
  <c r="F114" i="1"/>
  <c r="I113" i="1"/>
  <c r="H113" i="1"/>
  <c r="G113" i="1"/>
  <c r="F113" i="1"/>
  <c r="I110" i="1"/>
  <c r="H110" i="1"/>
  <c r="G110" i="1"/>
  <c r="F110" i="1"/>
  <c r="I109" i="1"/>
  <c r="H109" i="1"/>
  <c r="G109" i="1"/>
  <c r="F109" i="1"/>
  <c r="I108" i="1"/>
  <c r="H108" i="1"/>
  <c r="G108" i="1"/>
  <c r="F108" i="1"/>
  <c r="I107" i="1"/>
  <c r="H107" i="1"/>
  <c r="G107" i="1"/>
  <c r="F107" i="1"/>
  <c r="G102" i="1"/>
  <c r="H102" i="1"/>
  <c r="G103" i="1"/>
  <c r="H103" i="1"/>
  <c r="G104" i="1"/>
  <c r="H104" i="1"/>
  <c r="H101" i="1"/>
  <c r="G101" i="1"/>
  <c r="I102" i="1"/>
  <c r="I103" i="1"/>
  <c r="I104" i="1"/>
  <c r="I101" i="1"/>
  <c r="F102" i="1"/>
  <c r="F103" i="1"/>
  <c r="F104" i="1"/>
  <c r="F101" i="1"/>
  <c r="D96" i="1"/>
  <c r="D95" i="1"/>
  <c r="D94" i="1"/>
  <c r="D93" i="1"/>
  <c r="B75" i="1" s="1"/>
  <c r="O8" i="4" s="1"/>
  <c r="D64" i="1"/>
  <c r="D63" i="1"/>
  <c r="D62" i="1"/>
  <c r="D61" i="1"/>
  <c r="B43" i="1" s="1"/>
  <c r="D32" i="1"/>
  <c r="D31" i="1"/>
  <c r="D30" i="1"/>
  <c r="D29" i="1"/>
  <c r="B11" i="1" s="1"/>
  <c r="P40" i="4" l="1"/>
  <c r="P45" i="4" s="1"/>
  <c r="X40" i="4"/>
  <c r="X45" i="4" s="1"/>
  <c r="Q40" i="4"/>
  <c r="Q45" i="4" s="1"/>
  <c r="Y40" i="4"/>
  <c r="Y45" i="4" s="1"/>
  <c r="R40" i="4"/>
  <c r="R45" i="4" s="1"/>
  <c r="Z40" i="4"/>
  <c r="Z45" i="4" s="1"/>
  <c r="O40" i="4"/>
  <c r="S40" i="4"/>
  <c r="S45" i="4" s="1"/>
  <c r="T40" i="4"/>
  <c r="T45" i="4" s="1"/>
  <c r="U40" i="4"/>
  <c r="U45" i="4" s="1"/>
  <c r="V40" i="4"/>
  <c r="V45" i="4" s="1"/>
  <c r="W40" i="4"/>
  <c r="W45" i="4" s="1"/>
  <c r="Z8" i="5"/>
  <c r="T55" i="4"/>
  <c r="AE37" i="4"/>
  <c r="AD42" i="4"/>
  <c r="AD41" i="4"/>
  <c r="AD40" i="4"/>
  <c r="AF40" i="4" s="1"/>
  <c r="AB39" i="4"/>
  <c r="AB38" i="4"/>
  <c r="AE46" i="4"/>
  <c r="AB58" i="4"/>
  <c r="AC56" i="4"/>
  <c r="AB54" i="4"/>
  <c r="AB52" i="4"/>
  <c r="AD48" i="4"/>
  <c r="AG37" i="4"/>
  <c r="AJ59" i="4"/>
  <c r="AJ55" i="4"/>
  <c r="AG54" i="4"/>
  <c r="AH52" i="4"/>
  <c r="AJ48" i="4"/>
  <c r="AJ46" i="4"/>
  <c r="AJ42" i="4"/>
  <c r="AJ41" i="4"/>
  <c r="AJ40" i="4"/>
  <c r="AG39" i="4"/>
  <c r="AG38" i="4"/>
  <c r="S59" i="4"/>
  <c r="P54" i="4"/>
  <c r="AD37" i="4"/>
  <c r="AC42" i="4"/>
  <c r="AC41" i="4"/>
  <c r="AE39" i="4"/>
  <c r="AE38" i="4"/>
  <c r="AB46" i="4"/>
  <c r="AB59" i="4"/>
  <c r="AC57" i="4"/>
  <c r="AD55" i="4"/>
  <c r="AC49" i="4"/>
  <c r="AC48" i="4"/>
  <c r="AJ37" i="4"/>
  <c r="AI59" i="4"/>
  <c r="AG55" i="4"/>
  <c r="AJ53" i="4"/>
  <c r="AG52" i="4"/>
  <c r="AI48" i="4"/>
  <c r="AI46" i="4"/>
  <c r="AI42" i="4"/>
  <c r="AI41" i="4"/>
  <c r="AJ39" i="4"/>
  <c r="AJ38" i="4"/>
  <c r="O58" i="4"/>
  <c r="AC37" i="4"/>
  <c r="AB42" i="4"/>
  <c r="AB41" i="4"/>
  <c r="AD39" i="4"/>
  <c r="AD38" i="4"/>
  <c r="AC46" i="4"/>
  <c r="AD58" i="4"/>
  <c r="AB57" i="4"/>
  <c r="AC55" i="4"/>
  <c r="AD52" i="4"/>
  <c r="AB49" i="4"/>
  <c r="AB48" i="4"/>
  <c r="AI37" i="4"/>
  <c r="AJ57" i="4"/>
  <c r="AJ54" i="4"/>
  <c r="AJ52" i="4"/>
  <c r="AJ51" i="4"/>
  <c r="AH48" i="4"/>
  <c r="AH46" i="4"/>
  <c r="AH42" i="4"/>
  <c r="AH41" i="4"/>
  <c r="AI39" i="4"/>
  <c r="AI38" i="4"/>
  <c r="AC27" i="7"/>
  <c r="AA8" i="5" s="1"/>
  <c r="X56" i="4"/>
  <c r="AE40" i="4"/>
  <c r="AE45" i="4" s="1"/>
  <c r="AC58" i="4"/>
  <c r="AD56" i="4"/>
  <c r="AC54" i="4"/>
  <c r="AB47" i="4"/>
  <c r="AI57" i="4"/>
  <c r="AH54" i="4"/>
  <c r="AH49" i="4"/>
  <c r="AE49" i="4"/>
  <c r="AJ49" i="4"/>
  <c r="AG49" i="4"/>
  <c r="AJ47" i="4"/>
  <c r="AE47" i="4"/>
  <c r="AI47" i="4"/>
  <c r="AD47" i="4"/>
  <c r="AH47" i="4"/>
  <c r="G44" i="4"/>
  <c r="G9" i="7" s="1"/>
  <c r="J44" i="4"/>
  <c r="J9" i="7" s="1"/>
  <c r="B44" i="4"/>
  <c r="B9" i="7" s="1"/>
  <c r="F44" i="4"/>
  <c r="F9" i="7" s="1"/>
  <c r="K44" i="4"/>
  <c r="K9" i="7" s="1"/>
  <c r="C44" i="4"/>
  <c r="C9" i="7" s="1"/>
  <c r="C19" i="6"/>
  <c r="D19" i="6" s="1"/>
  <c r="M44" i="4"/>
  <c r="M9" i="7" s="1"/>
  <c r="I44" i="4"/>
  <c r="I9" i="7" s="1"/>
  <c r="E44" i="4"/>
  <c r="E9" i="7" s="1"/>
  <c r="C20" i="6"/>
  <c r="L44" i="4"/>
  <c r="L9" i="7" s="1"/>
  <c r="H44" i="4"/>
  <c r="H9" i="7" s="1"/>
  <c r="C43" i="3"/>
  <c r="O19" i="6" s="1"/>
  <c r="P19" i="6" s="1"/>
  <c r="E43" i="4"/>
  <c r="E8" i="7" s="1"/>
  <c r="M43" i="4"/>
  <c r="M8" i="7" s="1"/>
  <c r="I43" i="4"/>
  <c r="I8" i="7" s="1"/>
  <c r="L43" i="4"/>
  <c r="L8" i="7" s="1"/>
  <c r="D43" i="4"/>
  <c r="D8" i="7" s="1"/>
  <c r="K43" i="4"/>
  <c r="K8" i="7" s="1"/>
  <c r="G43" i="4"/>
  <c r="G8" i="7" s="1"/>
  <c r="C43" i="4"/>
  <c r="C8" i="7" s="1"/>
  <c r="H43" i="4"/>
  <c r="H8" i="7" s="1"/>
  <c r="B43" i="4"/>
  <c r="J43" i="4"/>
  <c r="J8" i="7" s="1"/>
  <c r="C15" i="6"/>
  <c r="B18" i="7" s="1"/>
  <c r="AD59" i="4"/>
  <c r="AH59" i="4"/>
  <c r="AK59" i="4" s="1"/>
  <c r="AE59" i="4"/>
  <c r="AI58" i="4"/>
  <c r="AH58" i="4"/>
  <c r="AG58" i="4"/>
  <c r="AE57" i="4"/>
  <c r="AH57" i="4"/>
  <c r="AK57" i="4" s="1"/>
  <c r="AI56" i="4"/>
  <c r="AH56" i="4"/>
  <c r="AB56" i="4"/>
  <c r="AF56" i="4" s="1"/>
  <c r="AG56" i="4"/>
  <c r="AB55" i="4"/>
  <c r="AI55" i="4"/>
  <c r="AE54" i="4"/>
  <c r="AE53" i="4"/>
  <c r="AD53" i="4"/>
  <c r="AI53" i="4"/>
  <c r="AC53" i="4"/>
  <c r="AH53" i="4"/>
  <c r="AD51" i="4"/>
  <c r="AC51" i="4"/>
  <c r="AH51" i="4"/>
  <c r="AE51" i="4"/>
  <c r="AF51" i="4" s="1"/>
  <c r="AI51" i="4"/>
  <c r="AC40" i="4"/>
  <c r="AC45" i="4" s="1"/>
  <c r="AH40" i="4"/>
  <c r="AH45" i="4" s="1"/>
  <c r="AI40" i="4"/>
  <c r="AI45" i="4" s="1"/>
  <c r="O27" i="4"/>
  <c r="O26" i="4"/>
  <c r="O29" i="4"/>
  <c r="O28" i="4"/>
  <c r="H10" i="4"/>
  <c r="I9" i="6" s="1"/>
  <c r="H10" i="7" s="1"/>
  <c r="O7" i="4"/>
  <c r="O23" i="4"/>
  <c r="O22" i="4"/>
  <c r="O21" i="4"/>
  <c r="O20" i="4"/>
  <c r="K10" i="4"/>
  <c r="L9" i="6" s="1"/>
  <c r="L10" i="7" s="1"/>
  <c r="C10" i="4"/>
  <c r="D9" i="6" s="1"/>
  <c r="D10" i="7" s="1"/>
  <c r="O15" i="4"/>
  <c r="O16" i="4"/>
  <c r="O17" i="4"/>
  <c r="C11" i="1"/>
  <c r="O14" i="4"/>
  <c r="O6" i="4"/>
  <c r="M10" i="7"/>
  <c r="E10" i="7"/>
  <c r="B19" i="7"/>
  <c r="D41" i="6"/>
  <c r="B29" i="7"/>
  <c r="D40" i="6"/>
  <c r="C25" i="7" s="1"/>
  <c r="AK58" i="4"/>
  <c r="AK56" i="4"/>
  <c r="AK55" i="4"/>
  <c r="AK54" i="4"/>
  <c r="AK52" i="4"/>
  <c r="AK47" i="4"/>
  <c r="AK46" i="4"/>
  <c r="AK42" i="4"/>
  <c r="AK40" i="4"/>
  <c r="AK38" i="4"/>
  <c r="G45" i="4"/>
  <c r="AB45" i="4"/>
  <c r="J45" i="4"/>
  <c r="F45" i="4"/>
  <c r="B45" i="4"/>
  <c r="AJ45" i="4"/>
  <c r="K45" i="4"/>
  <c r="K61" i="4" s="1"/>
  <c r="C45" i="4"/>
  <c r="AG45" i="4"/>
  <c r="M45" i="4"/>
  <c r="I45" i="4"/>
  <c r="E45" i="4"/>
  <c r="AL45" i="4"/>
  <c r="L45" i="4"/>
  <c r="H45" i="4"/>
  <c r="D45" i="4"/>
  <c r="D61" i="4" s="1"/>
  <c r="AF52" i="4"/>
  <c r="AK48" i="4"/>
  <c r="AK41" i="4"/>
  <c r="AK37" i="4"/>
  <c r="AF42" i="4"/>
  <c r="AF41" i="4"/>
  <c r="AF39" i="4"/>
  <c r="AF38" i="4"/>
  <c r="AF46" i="4"/>
  <c r="AF59" i="4"/>
  <c r="AF54" i="4"/>
  <c r="AF49" i="4"/>
  <c r="AK39" i="4"/>
  <c r="AF58" i="4"/>
  <c r="AF57" i="4"/>
  <c r="AF53" i="4"/>
  <c r="AF48" i="4"/>
  <c r="AF55" i="4"/>
  <c r="AF37" i="4"/>
  <c r="O59" i="4"/>
  <c r="X57" i="4"/>
  <c r="P55" i="4"/>
  <c r="X53" i="4"/>
  <c r="T56" i="4"/>
  <c r="W58" i="4"/>
  <c r="T57" i="4"/>
  <c r="P56" i="4"/>
  <c r="X54" i="4"/>
  <c r="T53" i="4"/>
  <c r="R49" i="4"/>
  <c r="V49" i="4"/>
  <c r="Z49" i="4"/>
  <c r="Q53" i="4"/>
  <c r="U53" i="4"/>
  <c r="Y53" i="4"/>
  <c r="Q54" i="4"/>
  <c r="U54" i="4"/>
  <c r="Y54" i="4"/>
  <c r="Q55" i="4"/>
  <c r="U55" i="4"/>
  <c r="Y55" i="4"/>
  <c r="Q56" i="4"/>
  <c r="U56" i="4"/>
  <c r="Y56" i="4"/>
  <c r="Q57" i="4"/>
  <c r="U57" i="4"/>
  <c r="Y57" i="4"/>
  <c r="P58" i="4"/>
  <c r="T58" i="4"/>
  <c r="X58" i="4"/>
  <c r="P59" i="4"/>
  <c r="T59" i="4"/>
  <c r="X59" i="4"/>
  <c r="U49" i="4"/>
  <c r="O38" i="4"/>
  <c r="O49" i="4"/>
  <c r="S49" i="4"/>
  <c r="W49" i="4"/>
  <c r="R53" i="4"/>
  <c r="V53" i="4"/>
  <c r="Z53" i="4"/>
  <c r="R54" i="4"/>
  <c r="V54" i="4"/>
  <c r="Z54" i="4"/>
  <c r="R55" i="4"/>
  <c r="V55" i="4"/>
  <c r="Z55" i="4"/>
  <c r="R56" i="4"/>
  <c r="V56" i="4"/>
  <c r="Z56" i="4"/>
  <c r="R57" i="4"/>
  <c r="V57" i="4"/>
  <c r="Z57" i="4"/>
  <c r="Q58" i="4"/>
  <c r="U58" i="4"/>
  <c r="Y58" i="4"/>
  <c r="Q59" i="4"/>
  <c r="U59" i="4"/>
  <c r="Y59" i="4"/>
  <c r="Q49" i="4"/>
  <c r="P49" i="4"/>
  <c r="T49" i="4"/>
  <c r="X49" i="4"/>
  <c r="O53" i="4"/>
  <c r="S53" i="4"/>
  <c r="W53" i="4"/>
  <c r="O54" i="4"/>
  <c r="S54" i="4"/>
  <c r="W54" i="4"/>
  <c r="O55" i="4"/>
  <c r="S55" i="4"/>
  <c r="W55" i="4"/>
  <c r="O56" i="4"/>
  <c r="S56" i="4"/>
  <c r="W56" i="4"/>
  <c r="O57" i="4"/>
  <c r="S57" i="4"/>
  <c r="W57" i="4"/>
  <c r="R58" i="4"/>
  <c r="V58" i="4"/>
  <c r="Z58" i="4"/>
  <c r="R59" i="4"/>
  <c r="V59" i="4"/>
  <c r="Z59" i="4"/>
  <c r="Y49" i="4"/>
  <c r="W59" i="4"/>
  <c r="S58" i="4"/>
  <c r="P57" i="4"/>
  <c r="X55" i="4"/>
  <c r="T54" i="4"/>
  <c r="P53" i="4"/>
  <c r="C75" i="1"/>
  <c r="C43" i="1"/>
  <c r="B31" i="4"/>
  <c r="N26" i="4"/>
  <c r="N57" i="4"/>
  <c r="N53" i="4"/>
  <c r="N48" i="4"/>
  <c r="N40" i="4"/>
  <c r="M31" i="4"/>
  <c r="I31" i="4"/>
  <c r="E31" i="4"/>
  <c r="J31" i="4"/>
  <c r="F31" i="4"/>
  <c r="N36" i="4"/>
  <c r="N56" i="4"/>
  <c r="N52" i="4"/>
  <c r="N47" i="4"/>
  <c r="N39" i="4"/>
  <c r="L31" i="4"/>
  <c r="H31" i="4"/>
  <c r="D31" i="4"/>
  <c r="N59" i="4"/>
  <c r="N55" i="4"/>
  <c r="N51" i="4"/>
  <c r="N46" i="4"/>
  <c r="N42" i="4"/>
  <c r="N38" i="4"/>
  <c r="K31" i="4"/>
  <c r="G31" i="4"/>
  <c r="C31" i="4"/>
  <c r="N58" i="4"/>
  <c r="N54" i="4"/>
  <c r="N49" i="4"/>
  <c r="N41" i="4"/>
  <c r="N37" i="4"/>
  <c r="N17" i="4"/>
  <c r="N20" i="4"/>
  <c r="N21" i="4"/>
  <c r="N22" i="4"/>
  <c r="N23" i="4"/>
  <c r="N27" i="4"/>
  <c r="N28" i="4"/>
  <c r="N29" i="4"/>
  <c r="N15" i="4"/>
  <c r="N16" i="4"/>
  <c r="N6" i="4"/>
  <c r="B10" i="4"/>
  <c r="C9" i="6" s="1"/>
  <c r="B10" i="7" s="1"/>
  <c r="J10" i="4"/>
  <c r="K9" i="6" s="1"/>
  <c r="J10" i="7" s="1"/>
  <c r="F10" i="4"/>
  <c r="G9" i="6" s="1"/>
  <c r="G10" i="7" s="1"/>
  <c r="N8" i="4"/>
  <c r="N14" i="4"/>
  <c r="N7" i="4"/>
  <c r="C25" i="3"/>
  <c r="AD45" i="4" l="1"/>
  <c r="AF45" i="4" s="1"/>
  <c r="F61" i="4"/>
  <c r="P19" i="7"/>
  <c r="AK49" i="4"/>
  <c r="AK51" i="4"/>
  <c r="AF47" i="4"/>
  <c r="AK53" i="4"/>
  <c r="AD27" i="7"/>
  <c r="I10" i="7"/>
  <c r="N9" i="7"/>
  <c r="B61" i="4"/>
  <c r="N44" i="4"/>
  <c r="M61" i="4"/>
  <c r="D20" i="6"/>
  <c r="E20" i="6" s="1"/>
  <c r="F20" i="6" s="1"/>
  <c r="G20" i="6" s="1"/>
  <c r="H20" i="6" s="1"/>
  <c r="I20" i="6" s="1"/>
  <c r="J20" i="6" s="1"/>
  <c r="K20" i="6" s="1"/>
  <c r="L20" i="6" s="1"/>
  <c r="M20" i="6" s="1"/>
  <c r="N20" i="6" s="1"/>
  <c r="H61" i="4"/>
  <c r="B21" i="7"/>
  <c r="C21" i="6"/>
  <c r="C47" i="3"/>
  <c r="C49" i="3" s="1"/>
  <c r="Q19" i="6"/>
  <c r="Q19" i="7" s="1"/>
  <c r="E61" i="4"/>
  <c r="I61" i="4"/>
  <c r="D15" i="6"/>
  <c r="C61" i="4"/>
  <c r="L61" i="4"/>
  <c r="G61" i="4"/>
  <c r="J61" i="4"/>
  <c r="B8" i="7"/>
  <c r="N8" i="7" s="1"/>
  <c r="C16" i="6"/>
  <c r="N43" i="4"/>
  <c r="C29" i="3"/>
  <c r="C31" i="3" s="1"/>
  <c r="O15" i="6"/>
  <c r="AK45" i="4"/>
  <c r="G33" i="4"/>
  <c r="H10" i="6"/>
  <c r="H30" i="6"/>
  <c r="E33" i="4"/>
  <c r="F10" i="6"/>
  <c r="F30" i="6"/>
  <c r="D33" i="4"/>
  <c r="D63" i="4" s="1"/>
  <c r="E30" i="6"/>
  <c r="E10" i="6"/>
  <c r="E11" i="7" s="1"/>
  <c r="D10" i="6"/>
  <c r="D30" i="6"/>
  <c r="G30" i="6"/>
  <c r="G10" i="6"/>
  <c r="C10" i="6"/>
  <c r="C30" i="6"/>
  <c r="C33" i="4"/>
  <c r="F10" i="7"/>
  <c r="C10" i="7"/>
  <c r="P23" i="4"/>
  <c r="P20" i="4"/>
  <c r="P21" i="4"/>
  <c r="P22" i="4"/>
  <c r="P27" i="4"/>
  <c r="P28" i="4"/>
  <c r="P26" i="4"/>
  <c r="P29" i="4"/>
  <c r="D11" i="1"/>
  <c r="P15" i="4"/>
  <c r="P16" i="4"/>
  <c r="P17" i="4"/>
  <c r="P14" i="4"/>
  <c r="O31" i="4"/>
  <c r="M33" i="4"/>
  <c r="N30" i="6"/>
  <c r="N10" i="6"/>
  <c r="L33" i="4"/>
  <c r="M30" i="6"/>
  <c r="M10" i="6"/>
  <c r="K33" i="4"/>
  <c r="K63" i="4" s="1"/>
  <c r="L10" i="6"/>
  <c r="L30" i="6"/>
  <c r="K30" i="6"/>
  <c r="K10" i="6"/>
  <c r="K10" i="7"/>
  <c r="I33" i="4"/>
  <c r="J30" i="6"/>
  <c r="J10" i="6"/>
  <c r="H33" i="4"/>
  <c r="I10" i="6"/>
  <c r="I30" i="6"/>
  <c r="C26" i="7"/>
  <c r="C29" i="7" s="1"/>
  <c r="E41" i="6"/>
  <c r="C19" i="7"/>
  <c r="D21" i="6"/>
  <c r="E19" i="6"/>
  <c r="D19" i="7" s="1"/>
  <c r="E15" i="6"/>
  <c r="D18" i="7" s="1"/>
  <c r="C18" i="7"/>
  <c r="E40" i="6"/>
  <c r="D25" i="7" s="1"/>
  <c r="AA52" i="4"/>
  <c r="N45" i="4"/>
  <c r="O45" i="4"/>
  <c r="AA42" i="4"/>
  <c r="AA39" i="4"/>
  <c r="AA53" i="4"/>
  <c r="AA41" i="4"/>
  <c r="AA51" i="4"/>
  <c r="AA46" i="4"/>
  <c r="AA38" i="4"/>
  <c r="AA57" i="4"/>
  <c r="AA48" i="4"/>
  <c r="AA40" i="4"/>
  <c r="AA47" i="4"/>
  <c r="AA59" i="4"/>
  <c r="AA55" i="4"/>
  <c r="AA56" i="4"/>
  <c r="AA37" i="4"/>
  <c r="AA58" i="4"/>
  <c r="AA54" i="4"/>
  <c r="AA49" i="4"/>
  <c r="B33" i="4"/>
  <c r="D75" i="1"/>
  <c r="P8" i="4"/>
  <c r="D43" i="1"/>
  <c r="P7" i="4"/>
  <c r="P6" i="4"/>
  <c r="O10" i="4"/>
  <c r="F33" i="4"/>
  <c r="F63" i="4" s="1"/>
  <c r="J33" i="4"/>
  <c r="N31" i="4"/>
  <c r="N10" i="4"/>
  <c r="D25" i="3"/>
  <c r="AA15" i="6" s="1"/>
  <c r="D43" i="3"/>
  <c r="AA19" i="6" s="1"/>
  <c r="J11" i="7" l="1"/>
  <c r="B63" i="4"/>
  <c r="D11" i="7"/>
  <c r="N61" i="4"/>
  <c r="AB8" i="5"/>
  <c r="AE27" i="7"/>
  <c r="AF27" i="7"/>
  <c r="I12" i="8" s="1"/>
  <c r="G63" i="4"/>
  <c r="I63" i="4"/>
  <c r="M63" i="4"/>
  <c r="H63" i="4"/>
  <c r="R19" i="6"/>
  <c r="S19" i="6" s="1"/>
  <c r="S19" i="7" s="1"/>
  <c r="AB19" i="6"/>
  <c r="P9" i="7"/>
  <c r="X9" i="7"/>
  <c r="Q9" i="7"/>
  <c r="U9" i="7"/>
  <c r="Y9" i="7"/>
  <c r="R9" i="7"/>
  <c r="V9" i="7"/>
  <c r="Z9" i="7"/>
  <c r="S9" i="7"/>
  <c r="W9" i="7"/>
  <c r="O44" i="4"/>
  <c r="T9" i="7"/>
  <c r="E63" i="4"/>
  <c r="L63" i="4"/>
  <c r="C63" i="4"/>
  <c r="J63" i="4"/>
  <c r="D16" i="6"/>
  <c r="C17" i="6"/>
  <c r="C23" i="6" s="1"/>
  <c r="AB15" i="6"/>
  <c r="P15" i="6"/>
  <c r="P18" i="7" s="1"/>
  <c r="P21" i="7" s="1"/>
  <c r="U8" i="7"/>
  <c r="Y8" i="7"/>
  <c r="O43" i="4"/>
  <c r="P8" i="7"/>
  <c r="R8" i="7"/>
  <c r="V8" i="7"/>
  <c r="T8" i="7"/>
  <c r="X8" i="7"/>
  <c r="G11" i="7"/>
  <c r="F12" i="7"/>
  <c r="G32" i="6"/>
  <c r="G37" i="6" s="1"/>
  <c r="C32" i="6"/>
  <c r="C37" i="6" s="1"/>
  <c r="B12" i="7"/>
  <c r="H32" i="6"/>
  <c r="H37" i="6" s="1"/>
  <c r="G12" i="7"/>
  <c r="B11" i="7"/>
  <c r="C11" i="7"/>
  <c r="F32" i="6"/>
  <c r="F37" i="6" s="1"/>
  <c r="E12" i="7"/>
  <c r="E32" i="6"/>
  <c r="E37" i="6" s="1"/>
  <c r="D12" i="7"/>
  <c r="C12" i="7"/>
  <c r="D32" i="6"/>
  <c r="D37" i="6" s="1"/>
  <c r="F11" i="7"/>
  <c r="M11" i="7"/>
  <c r="Q21" i="4"/>
  <c r="Q23" i="4"/>
  <c r="Q20" i="4"/>
  <c r="Q22" i="4"/>
  <c r="P10" i="4"/>
  <c r="P9" i="6" s="1"/>
  <c r="Q26" i="4"/>
  <c r="Q27" i="4"/>
  <c r="Q29" i="4"/>
  <c r="Q28" i="4"/>
  <c r="O33" i="4"/>
  <c r="O9" i="6"/>
  <c r="N11" i="7"/>
  <c r="N12" i="7"/>
  <c r="N32" i="6"/>
  <c r="N37" i="6" s="1"/>
  <c r="P31" i="4"/>
  <c r="E11" i="1"/>
  <c r="Q16" i="4"/>
  <c r="Q17" i="4"/>
  <c r="Q14" i="4"/>
  <c r="Q15" i="4"/>
  <c r="O30" i="6"/>
  <c r="O10" i="6"/>
  <c r="O11" i="7" s="1"/>
  <c r="M32" i="6"/>
  <c r="M37" i="6" s="1"/>
  <c r="M12" i="7"/>
  <c r="L11" i="7"/>
  <c r="L12" i="7"/>
  <c r="L32" i="6"/>
  <c r="L37" i="6" s="1"/>
  <c r="K11" i="7"/>
  <c r="K12" i="7"/>
  <c r="K32" i="6"/>
  <c r="K37" i="6" s="1"/>
  <c r="J32" i="6"/>
  <c r="J37" i="6" s="1"/>
  <c r="J12" i="7"/>
  <c r="I32" i="6"/>
  <c r="I37" i="6" s="1"/>
  <c r="H12" i="7"/>
  <c r="I12" i="7"/>
  <c r="H11" i="7"/>
  <c r="I11" i="7"/>
  <c r="D21" i="7"/>
  <c r="F15" i="6"/>
  <c r="E18" i="7" s="1"/>
  <c r="F41" i="6"/>
  <c r="E26" i="7" s="1"/>
  <c r="F19" i="6"/>
  <c r="E19" i="7" s="1"/>
  <c r="E21" i="6"/>
  <c r="F40" i="6"/>
  <c r="C21" i="7"/>
  <c r="D26" i="7"/>
  <c r="D29" i="7" s="1"/>
  <c r="AA45" i="4"/>
  <c r="E75" i="1"/>
  <c r="Q8" i="4"/>
  <c r="E43" i="1"/>
  <c r="Q7" i="4"/>
  <c r="Q6" i="4"/>
  <c r="N33" i="4"/>
  <c r="E25" i="3"/>
  <c r="AE15" i="6" s="1"/>
  <c r="D29" i="3"/>
  <c r="D31" i="3" s="1"/>
  <c r="D47" i="3"/>
  <c r="D49" i="3" s="1"/>
  <c r="E43" i="3"/>
  <c r="AE19" i="6" s="1"/>
  <c r="N63" i="4" l="1"/>
  <c r="AC8" i="5"/>
  <c r="AG27" i="7"/>
  <c r="AD8" i="5" s="1"/>
  <c r="AH27" i="7"/>
  <c r="R19" i="7"/>
  <c r="O9" i="7"/>
  <c r="AA9" i="7" s="1"/>
  <c r="O20" i="6"/>
  <c r="AA44" i="4"/>
  <c r="AC19" i="6"/>
  <c r="AD19" i="7" s="1"/>
  <c r="AF19" i="6"/>
  <c r="AH19" i="7" s="1"/>
  <c r="AE44" i="4"/>
  <c r="AE9" i="7" s="1"/>
  <c r="AB44" i="4"/>
  <c r="AC44" i="4"/>
  <c r="AC9" i="7" s="1"/>
  <c r="AD44" i="4"/>
  <c r="AD9" i="7" s="1"/>
  <c r="AC19" i="7"/>
  <c r="Y61" i="4"/>
  <c r="P61" i="4"/>
  <c r="R61" i="4"/>
  <c r="T61" i="4"/>
  <c r="U61" i="4"/>
  <c r="E16" i="6"/>
  <c r="D17" i="6"/>
  <c r="D23" i="6" s="1"/>
  <c r="V61" i="4"/>
  <c r="Z8" i="7"/>
  <c r="Z61" i="4"/>
  <c r="O8" i="7"/>
  <c r="AA43" i="4"/>
  <c r="Q8" i="7"/>
  <c r="Q61" i="4"/>
  <c r="AC15" i="6"/>
  <c r="AE43" i="4"/>
  <c r="AB43" i="4"/>
  <c r="AC43" i="4"/>
  <c r="AD43" i="4"/>
  <c r="O61" i="4"/>
  <c r="O63" i="4" s="1"/>
  <c r="S8" i="7"/>
  <c r="S61" i="4"/>
  <c r="AC18" i="7"/>
  <c r="AF15" i="6"/>
  <c r="X61" i="4"/>
  <c r="W8" i="7"/>
  <c r="W61" i="4"/>
  <c r="Q15" i="6"/>
  <c r="Q18" i="7" s="1"/>
  <c r="Q21" i="7" s="1"/>
  <c r="R27" i="4"/>
  <c r="R28" i="4"/>
  <c r="R29" i="4"/>
  <c r="R26" i="4"/>
  <c r="R21" i="4"/>
  <c r="R22" i="4"/>
  <c r="R23" i="4"/>
  <c r="R20" i="4"/>
  <c r="Q31" i="4"/>
  <c r="P30" i="6"/>
  <c r="P10" i="6"/>
  <c r="P10" i="7"/>
  <c r="O10" i="7"/>
  <c r="O32" i="6"/>
  <c r="O37" i="6" s="1"/>
  <c r="O12" i="7"/>
  <c r="P33" i="4"/>
  <c r="F11" i="1"/>
  <c r="R14" i="4"/>
  <c r="R16" i="4"/>
  <c r="R17" i="4"/>
  <c r="R15" i="4"/>
  <c r="T19" i="6"/>
  <c r="T19" i="7" s="1"/>
  <c r="G40" i="6"/>
  <c r="F25" i="7" s="1"/>
  <c r="E21" i="7"/>
  <c r="G41" i="6"/>
  <c r="F26" i="7" s="1"/>
  <c r="G15" i="6"/>
  <c r="F18" i="7" s="1"/>
  <c r="F21" i="6"/>
  <c r="G19" i="6"/>
  <c r="F19" i="7" s="1"/>
  <c r="E25" i="7"/>
  <c r="F75" i="1"/>
  <c r="R8" i="4"/>
  <c r="F43" i="1"/>
  <c r="R7" i="4"/>
  <c r="Q10" i="4"/>
  <c r="R6" i="4"/>
  <c r="F25" i="3"/>
  <c r="E29" i="3"/>
  <c r="E31" i="3" s="1"/>
  <c r="E47" i="3"/>
  <c r="E49" i="3" s="1"/>
  <c r="F43" i="3"/>
  <c r="AI27" i="7" l="1"/>
  <c r="AE8" i="5"/>
  <c r="AB9" i="7"/>
  <c r="AF44" i="4"/>
  <c r="AF9" i="7" s="1"/>
  <c r="AJ44" i="4"/>
  <c r="AJ9" i="7" s="1"/>
  <c r="AG44" i="4"/>
  <c r="AH44" i="4"/>
  <c r="AH9" i="7" s="1"/>
  <c r="AI44" i="4"/>
  <c r="AI9" i="7" s="1"/>
  <c r="AA61" i="4"/>
  <c r="P20" i="6"/>
  <c r="O21" i="6"/>
  <c r="F47" i="3"/>
  <c r="F49" i="3" s="1"/>
  <c r="AL44" i="4" s="1"/>
  <c r="AL9" i="7" s="1"/>
  <c r="AI19" i="6"/>
  <c r="AC21" i="7"/>
  <c r="AG19" i="6"/>
  <c r="AD19" i="6"/>
  <c r="AG19" i="7" s="1"/>
  <c r="P63" i="4"/>
  <c r="F16" i="6"/>
  <c r="E17" i="6"/>
  <c r="E23" i="6" s="1"/>
  <c r="AI43" i="4"/>
  <c r="AG43" i="4"/>
  <c r="AH43" i="4"/>
  <c r="AJ43" i="4"/>
  <c r="AG15" i="6"/>
  <c r="AI18" i="7" s="1"/>
  <c r="AC8" i="7"/>
  <c r="AC61" i="4"/>
  <c r="AD15" i="6"/>
  <c r="F29" i="3"/>
  <c r="F31" i="3" s="1"/>
  <c r="AL43" i="4" s="1"/>
  <c r="AI15" i="6"/>
  <c r="AB8" i="7"/>
  <c r="AF43" i="4"/>
  <c r="AB61" i="4"/>
  <c r="R15" i="6"/>
  <c r="AE8" i="7"/>
  <c r="AE61" i="4"/>
  <c r="AA8" i="7"/>
  <c r="AH18" i="7"/>
  <c r="AH21" i="7" s="1"/>
  <c r="AD8" i="7"/>
  <c r="AD61" i="4"/>
  <c r="AD18" i="7"/>
  <c r="AD21" i="7" s="1"/>
  <c r="S26" i="4"/>
  <c r="S27" i="4"/>
  <c r="S28" i="4"/>
  <c r="S29" i="4"/>
  <c r="S20" i="4"/>
  <c r="S21" i="4"/>
  <c r="S22" i="4"/>
  <c r="S23" i="4"/>
  <c r="Q33" i="4"/>
  <c r="Q63" i="4" s="1"/>
  <c r="Q9" i="6"/>
  <c r="R31" i="4"/>
  <c r="P11" i="7"/>
  <c r="P12" i="7"/>
  <c r="P32" i="6"/>
  <c r="P37" i="6" s="1"/>
  <c r="S15" i="4"/>
  <c r="S16" i="4"/>
  <c r="S17" i="4"/>
  <c r="S14" i="4"/>
  <c r="Q30" i="6"/>
  <c r="Q10" i="6"/>
  <c r="Q11" i="7" s="1"/>
  <c r="U19" i="6"/>
  <c r="U19" i="7" s="1"/>
  <c r="F21" i="7"/>
  <c r="E29" i="7"/>
  <c r="H15" i="6"/>
  <c r="G18" i="7" s="1"/>
  <c r="H41" i="6"/>
  <c r="G26" i="7" s="1"/>
  <c r="H40" i="6"/>
  <c r="G25" i="7" s="1"/>
  <c r="G21" i="6"/>
  <c r="H19" i="6"/>
  <c r="G19" i="7" s="1"/>
  <c r="F29" i="7"/>
  <c r="S8" i="4"/>
  <c r="G75" i="1"/>
  <c r="R10" i="4"/>
  <c r="S7" i="4"/>
  <c r="G43" i="1"/>
  <c r="S6" i="4"/>
  <c r="AJ27" i="7" l="1"/>
  <c r="AG8" i="5" s="1"/>
  <c r="AF8" i="5"/>
  <c r="Q20" i="6"/>
  <c r="P21" i="6"/>
  <c r="AG9" i="7"/>
  <c r="AK44" i="4"/>
  <c r="AK9" i="7" s="1"/>
  <c r="AH19" i="6"/>
  <c r="AE19" i="7"/>
  <c r="AI19" i="7"/>
  <c r="G16" i="6"/>
  <c r="F17" i="6"/>
  <c r="F23" i="6" s="1"/>
  <c r="AF8" i="7"/>
  <c r="AF61" i="4"/>
  <c r="AG18" i="7"/>
  <c r="AG8" i="7"/>
  <c r="AK43" i="4"/>
  <c r="AG61" i="4"/>
  <c r="S15" i="6"/>
  <c r="AI8" i="7"/>
  <c r="AI61" i="4"/>
  <c r="R18" i="7"/>
  <c r="R21" i="7" s="1"/>
  <c r="AJ8" i="7"/>
  <c r="AJ61" i="4"/>
  <c r="AL8" i="7"/>
  <c r="AL61" i="4"/>
  <c r="AE18" i="7"/>
  <c r="AH15" i="6"/>
  <c r="AJ18" i="7" s="1"/>
  <c r="AH8" i="7"/>
  <c r="AH61" i="4"/>
  <c r="T29" i="4"/>
  <c r="T26" i="4"/>
  <c r="T27" i="4"/>
  <c r="T28" i="4"/>
  <c r="T21" i="4"/>
  <c r="T22" i="4"/>
  <c r="T20" i="4"/>
  <c r="T23" i="4"/>
  <c r="S31" i="4"/>
  <c r="T15" i="4"/>
  <c r="T16" i="4"/>
  <c r="T17" i="4"/>
  <c r="T14" i="4"/>
  <c r="Q10" i="7"/>
  <c r="Q32" i="6"/>
  <c r="Q37" i="6" s="1"/>
  <c r="Q12" i="7"/>
  <c r="R33" i="4"/>
  <c r="R63" i="4" s="1"/>
  <c r="R9" i="6"/>
  <c r="R30" i="6"/>
  <c r="R10" i="6"/>
  <c r="V19" i="6"/>
  <c r="G29" i="7"/>
  <c r="G21" i="7"/>
  <c r="I41" i="6"/>
  <c r="H26" i="7" s="1"/>
  <c r="I19" i="6"/>
  <c r="H19" i="7" s="1"/>
  <c r="H21" i="6"/>
  <c r="I40" i="6"/>
  <c r="H25" i="7" s="1"/>
  <c r="I15" i="6"/>
  <c r="H18" i="7" s="1"/>
  <c r="S10" i="4"/>
  <c r="H75" i="1"/>
  <c r="T8" i="4"/>
  <c r="H43" i="1"/>
  <c r="T7" i="4"/>
  <c r="T6" i="4"/>
  <c r="AK27" i="7" l="1"/>
  <c r="K12" i="8" s="1"/>
  <c r="AL19" i="7"/>
  <c r="AI21" i="7"/>
  <c r="AE21" i="7"/>
  <c r="AJ19" i="7"/>
  <c r="AK19" i="7" s="1"/>
  <c r="R20" i="6"/>
  <c r="Q21" i="6"/>
  <c r="H16" i="6"/>
  <c r="G17" i="6"/>
  <c r="G23" i="6" s="1"/>
  <c r="T15" i="6"/>
  <c r="AK18" i="7"/>
  <c r="AG21" i="7"/>
  <c r="AK8" i="7"/>
  <c r="AK61" i="4"/>
  <c r="AL18" i="7"/>
  <c r="S18" i="7"/>
  <c r="S21" i="7" s="1"/>
  <c r="U20" i="4"/>
  <c r="U22" i="4"/>
  <c r="U21" i="4"/>
  <c r="U23" i="4"/>
  <c r="U28" i="4"/>
  <c r="U26" i="4"/>
  <c r="U27" i="4"/>
  <c r="U29" i="4"/>
  <c r="S33" i="4"/>
  <c r="S63" i="4" s="1"/>
  <c r="S9" i="6"/>
  <c r="R11" i="7"/>
  <c r="T31" i="4"/>
  <c r="U15" i="4"/>
  <c r="U16" i="4"/>
  <c r="U17" i="4"/>
  <c r="U14" i="4"/>
  <c r="S30" i="6"/>
  <c r="S10" i="6"/>
  <c r="S11" i="7" s="1"/>
  <c r="R12" i="7"/>
  <c r="R32" i="6"/>
  <c r="R37" i="6" s="1"/>
  <c r="R10" i="7"/>
  <c r="W19" i="6"/>
  <c r="W19" i="7" s="1"/>
  <c r="H21" i="7"/>
  <c r="V19" i="7"/>
  <c r="J40" i="6"/>
  <c r="I25" i="7" s="1"/>
  <c r="I21" i="6"/>
  <c r="J19" i="6"/>
  <c r="J41" i="6"/>
  <c r="I26" i="7" s="1"/>
  <c r="J15" i="6"/>
  <c r="H29" i="7"/>
  <c r="T10" i="4"/>
  <c r="I75" i="1"/>
  <c r="U8" i="4"/>
  <c r="I43" i="1"/>
  <c r="U7" i="4"/>
  <c r="U6" i="4"/>
  <c r="AL27" i="7" l="1"/>
  <c r="S20" i="6"/>
  <c r="R21" i="6"/>
  <c r="AL21" i="7"/>
  <c r="M10" i="8" s="1"/>
  <c r="AK21" i="7"/>
  <c r="K10" i="8" s="1"/>
  <c r="AJ21" i="7"/>
  <c r="I16" i="6"/>
  <c r="H17" i="6"/>
  <c r="H23" i="6" s="1"/>
  <c r="U15" i="6"/>
  <c r="U18" i="7" s="1"/>
  <c r="U21" i="7" s="1"/>
  <c r="T18" i="7"/>
  <c r="T21" i="7" s="1"/>
  <c r="V21" i="4"/>
  <c r="V22" i="4"/>
  <c r="V23" i="4"/>
  <c r="V20" i="4"/>
  <c r="V27" i="4"/>
  <c r="V28" i="4"/>
  <c r="V29" i="4"/>
  <c r="V26" i="4"/>
  <c r="U31" i="4"/>
  <c r="U30" i="6" s="1"/>
  <c r="J11" i="1"/>
  <c r="V15" i="4"/>
  <c r="V14" i="4"/>
  <c r="V16" i="4"/>
  <c r="V17" i="4"/>
  <c r="S32" i="6"/>
  <c r="S37" i="6" s="1"/>
  <c r="S12" i="7"/>
  <c r="T10" i="6"/>
  <c r="T30" i="6"/>
  <c r="T33" i="4"/>
  <c r="T63" i="4" s="1"/>
  <c r="T9" i="6"/>
  <c r="T10" i="7" s="1"/>
  <c r="S10" i="7"/>
  <c r="X19" i="6"/>
  <c r="K15" i="6"/>
  <c r="I18" i="7"/>
  <c r="K19" i="6"/>
  <c r="J19" i="7" s="1"/>
  <c r="J21" i="6"/>
  <c r="K40" i="6"/>
  <c r="I29" i="7"/>
  <c r="K41" i="6"/>
  <c r="I19" i="7"/>
  <c r="U10" i="4"/>
  <c r="J75" i="1"/>
  <c r="V8" i="4"/>
  <c r="V7" i="4"/>
  <c r="J43" i="1"/>
  <c r="V6" i="4"/>
  <c r="AH8" i="5" l="1"/>
  <c r="M12" i="8"/>
  <c r="T20" i="6"/>
  <c r="S21" i="6"/>
  <c r="J16" i="6"/>
  <c r="I17" i="6"/>
  <c r="I23" i="6" s="1"/>
  <c r="V15" i="6"/>
  <c r="U10" i="6"/>
  <c r="U11" i="7" s="1"/>
  <c r="W26" i="4"/>
  <c r="W27" i="4"/>
  <c r="W28" i="4"/>
  <c r="W29" i="4"/>
  <c r="W20" i="4"/>
  <c r="W21" i="4"/>
  <c r="W22" i="4"/>
  <c r="W23" i="4"/>
  <c r="T12" i="7"/>
  <c r="T32" i="6"/>
  <c r="T37" i="6" s="1"/>
  <c r="U33" i="4"/>
  <c r="U63" i="4" s="1"/>
  <c r="U9" i="6"/>
  <c r="K11" i="1"/>
  <c r="W15" i="4"/>
  <c r="W16" i="4"/>
  <c r="W17" i="4"/>
  <c r="W14" i="4"/>
  <c r="T11" i="7"/>
  <c r="V31" i="4"/>
  <c r="U12" i="7"/>
  <c r="U32" i="6"/>
  <c r="U37" i="6" s="1"/>
  <c r="Y19" i="6"/>
  <c r="X19" i="7"/>
  <c r="L41" i="6"/>
  <c r="K26" i="7" s="1"/>
  <c r="L15" i="6"/>
  <c r="K18" i="7" s="1"/>
  <c r="K21" i="6"/>
  <c r="L19" i="6"/>
  <c r="K19" i="7" s="1"/>
  <c r="L40" i="6"/>
  <c r="K25" i="7" s="1"/>
  <c r="J18" i="7"/>
  <c r="J21" i="7" s="1"/>
  <c r="J26" i="7"/>
  <c r="J25" i="7"/>
  <c r="I21" i="7"/>
  <c r="V10" i="4"/>
  <c r="W8" i="4"/>
  <c r="K75" i="1"/>
  <c r="W7" i="4"/>
  <c r="K43" i="1"/>
  <c r="W6" i="4"/>
  <c r="U20" i="6" l="1"/>
  <c r="T21" i="6"/>
  <c r="K16" i="6"/>
  <c r="J17" i="6"/>
  <c r="J23" i="6" s="1"/>
  <c r="W15" i="6"/>
  <c r="W18" i="7" s="1"/>
  <c r="W21" i="7" s="1"/>
  <c r="V18" i="7"/>
  <c r="V21" i="7" s="1"/>
  <c r="X23" i="4"/>
  <c r="X20" i="4"/>
  <c r="X21" i="4"/>
  <c r="X22" i="4"/>
  <c r="X28" i="4"/>
  <c r="X26" i="4"/>
  <c r="X27" i="4"/>
  <c r="X29" i="4"/>
  <c r="V33" i="4"/>
  <c r="V63" i="4" s="1"/>
  <c r="V9" i="6"/>
  <c r="V10" i="7" s="1"/>
  <c r="L11" i="1"/>
  <c r="X15" i="4"/>
  <c r="X16" i="4"/>
  <c r="X17" i="4"/>
  <c r="X14" i="4"/>
  <c r="V30" i="6"/>
  <c r="V10" i="6"/>
  <c r="W31" i="4"/>
  <c r="U10" i="7"/>
  <c r="Z19" i="6"/>
  <c r="Y19" i="7"/>
  <c r="K29" i="7"/>
  <c r="M40" i="6"/>
  <c r="K21" i="7"/>
  <c r="J29" i="7"/>
  <c r="L21" i="6"/>
  <c r="M19" i="6"/>
  <c r="L19" i="7" s="1"/>
  <c r="M15" i="6"/>
  <c r="L18" i="7" s="1"/>
  <c r="M41" i="6"/>
  <c r="L26" i="7" s="1"/>
  <c r="W10" i="4"/>
  <c r="L75" i="1"/>
  <c r="X8" i="4"/>
  <c r="L43" i="1"/>
  <c r="X7" i="4"/>
  <c r="X6" i="4"/>
  <c r="AB19" i="7" l="1"/>
  <c r="AF19" i="7" s="1"/>
  <c r="V20" i="6"/>
  <c r="U21" i="6"/>
  <c r="Z19" i="7"/>
  <c r="L16" i="6"/>
  <c r="K17" i="6"/>
  <c r="K23" i="6" s="1"/>
  <c r="X15" i="6"/>
  <c r="X18" i="7" s="1"/>
  <c r="X21" i="7" s="1"/>
  <c r="Y21" i="4"/>
  <c r="Y23" i="4"/>
  <c r="Y20" i="4"/>
  <c r="Y22" i="4"/>
  <c r="Y26" i="4"/>
  <c r="Y27" i="4"/>
  <c r="Y29" i="4"/>
  <c r="Y28" i="4"/>
  <c r="W10" i="6"/>
  <c r="W11" i="7" s="1"/>
  <c r="W30" i="6"/>
  <c r="M11" i="1"/>
  <c r="N11" i="1" s="1"/>
  <c r="Y15" i="4"/>
  <c r="Y16" i="4"/>
  <c r="Y14" i="4"/>
  <c r="Y17" i="4"/>
  <c r="X31" i="4"/>
  <c r="W33" i="4"/>
  <c r="W63" i="4" s="1"/>
  <c r="W9" i="6"/>
  <c r="W10" i="7" s="1"/>
  <c r="V11" i="7"/>
  <c r="V12" i="7"/>
  <c r="V32" i="6"/>
  <c r="V37" i="6" s="1"/>
  <c r="L21" i="7"/>
  <c r="N41" i="6"/>
  <c r="M21" i="6"/>
  <c r="N19" i="6"/>
  <c r="N40" i="6"/>
  <c r="O40" i="6" s="1"/>
  <c r="N15" i="6"/>
  <c r="L25" i="7"/>
  <c r="L29" i="7" s="1"/>
  <c r="X10" i="4"/>
  <c r="M75" i="1"/>
  <c r="Y8" i="4"/>
  <c r="M43" i="1"/>
  <c r="Y7" i="4"/>
  <c r="Y6" i="4"/>
  <c r="W20" i="6" l="1"/>
  <c r="V21" i="6"/>
  <c r="M16" i="6"/>
  <c r="L17" i="6"/>
  <c r="L23" i="6" s="1"/>
  <c r="Y15" i="6"/>
  <c r="M25" i="7"/>
  <c r="D48" i="1"/>
  <c r="G48" i="1" s="1"/>
  <c r="Z21" i="4"/>
  <c r="AA21" i="4" s="1"/>
  <c r="Z22" i="4"/>
  <c r="AA22" i="4" s="1"/>
  <c r="Z23" i="4"/>
  <c r="AA23" i="4" s="1"/>
  <c r="Z20" i="4"/>
  <c r="AA20" i="4" s="1"/>
  <c r="D80" i="1"/>
  <c r="G80" i="1" s="1"/>
  <c r="Z27" i="4"/>
  <c r="AA27" i="4" s="1"/>
  <c r="Z28" i="4"/>
  <c r="AA28" i="4" s="1"/>
  <c r="Z29" i="4"/>
  <c r="AA29" i="4" s="1"/>
  <c r="Z26" i="4"/>
  <c r="AA26" i="4" s="1"/>
  <c r="Z16" i="4"/>
  <c r="AA16" i="4" s="1"/>
  <c r="Z17" i="4"/>
  <c r="AA17" i="4" s="1"/>
  <c r="Z14" i="4"/>
  <c r="Z15" i="4"/>
  <c r="AA15" i="4" s="1"/>
  <c r="D16" i="1"/>
  <c r="Y31" i="4"/>
  <c r="W32" i="6"/>
  <c r="W37" i="6" s="1"/>
  <c r="W12" i="7"/>
  <c r="X33" i="4"/>
  <c r="X63" i="4" s="1"/>
  <c r="X9" i="6"/>
  <c r="X30" i="6"/>
  <c r="X10" i="6"/>
  <c r="X11" i="7" s="1"/>
  <c r="P40" i="6"/>
  <c r="O25" i="7"/>
  <c r="M26" i="7"/>
  <c r="N26" i="7" s="1"/>
  <c r="O41" i="6"/>
  <c r="O18" i="7"/>
  <c r="N21" i="6"/>
  <c r="O19" i="7"/>
  <c r="AA19" i="7" s="1"/>
  <c r="M18" i="7"/>
  <c r="N25" i="7"/>
  <c r="M19" i="7"/>
  <c r="N19" i="7" s="1"/>
  <c r="Y10" i="4"/>
  <c r="Z8" i="4"/>
  <c r="AA8" i="4" s="1"/>
  <c r="N75" i="1"/>
  <c r="Z7" i="4"/>
  <c r="AA7" i="4" s="1"/>
  <c r="N43" i="1"/>
  <c r="Z6" i="4"/>
  <c r="N29" i="7" l="1"/>
  <c r="M29" i="7"/>
  <c r="X20" i="6"/>
  <c r="W21" i="6"/>
  <c r="N16" i="6"/>
  <c r="M17" i="6"/>
  <c r="M23" i="6" s="1"/>
  <c r="Z15" i="6"/>
  <c r="AB18" i="7" s="1"/>
  <c r="Y18" i="7"/>
  <c r="Y21" i="7" s="1"/>
  <c r="J80" i="1"/>
  <c r="AC27" i="4"/>
  <c r="AC28" i="4"/>
  <c r="AC29" i="4"/>
  <c r="AC8" i="4"/>
  <c r="AC26" i="4"/>
  <c r="J48" i="1"/>
  <c r="AC21" i="4"/>
  <c r="AC22" i="4"/>
  <c r="AC23" i="4"/>
  <c r="AC20" i="4"/>
  <c r="AC7" i="4"/>
  <c r="AB26" i="4"/>
  <c r="AB28" i="4"/>
  <c r="AB27" i="4"/>
  <c r="AB29" i="4"/>
  <c r="AB8" i="4"/>
  <c r="AB20" i="4"/>
  <c r="AB21" i="4"/>
  <c r="AB7" i="4"/>
  <c r="AB23" i="4"/>
  <c r="AB22" i="4"/>
  <c r="Z31" i="4"/>
  <c r="AA14" i="4"/>
  <c r="AA31" i="4" s="1"/>
  <c r="Y30" i="6"/>
  <c r="Y10" i="6"/>
  <c r="Y11" i="7" s="1"/>
  <c r="Y33" i="4"/>
  <c r="Y63" i="4" s="1"/>
  <c r="Y9" i="6"/>
  <c r="AB14" i="4"/>
  <c r="AB6" i="4"/>
  <c r="AB15" i="4"/>
  <c r="AB16" i="4"/>
  <c r="AB17" i="4"/>
  <c r="G16" i="1"/>
  <c r="X12" i="7"/>
  <c r="X32" i="6"/>
  <c r="X37" i="6" s="1"/>
  <c r="X10" i="7"/>
  <c r="O21" i="7"/>
  <c r="P41" i="6"/>
  <c r="O26" i="7"/>
  <c r="O29" i="7" s="1"/>
  <c r="P25" i="7"/>
  <c r="Q40" i="6"/>
  <c r="M21" i="7"/>
  <c r="N18" i="7"/>
  <c r="N21" i="7" s="1"/>
  <c r="C6" i="8" s="1"/>
  <c r="C14" i="8" s="1"/>
  <c r="C16" i="8" s="1"/>
  <c r="Z10" i="4"/>
  <c r="AA6" i="4"/>
  <c r="AA10" i="4" s="1"/>
  <c r="Z18" i="7" l="1"/>
  <c r="Z21" i="7" s="1"/>
  <c r="Y20" i="6"/>
  <c r="X21" i="6"/>
  <c r="O16" i="6"/>
  <c r="N17" i="6"/>
  <c r="N23" i="6" s="1"/>
  <c r="AF18" i="7"/>
  <c r="AF21" i="7" s="1"/>
  <c r="I10" i="8" s="1"/>
  <c r="AB21" i="7"/>
  <c r="AA18" i="7"/>
  <c r="AA21" i="7" s="1"/>
  <c r="G10" i="8" s="1"/>
  <c r="M48" i="1"/>
  <c r="AD20" i="4"/>
  <c r="AD7" i="4"/>
  <c r="AD21" i="4"/>
  <c r="AD22" i="4"/>
  <c r="AD23" i="4"/>
  <c r="AA33" i="4"/>
  <c r="AA63" i="4" s="1"/>
  <c r="M80" i="1"/>
  <c r="AD26" i="4"/>
  <c r="AD27" i="4"/>
  <c r="AD28" i="4"/>
  <c r="AD29" i="4"/>
  <c r="AD8" i="4"/>
  <c r="AB31" i="4"/>
  <c r="Z33" i="4"/>
  <c r="Z63" i="4" s="1"/>
  <c r="Z9" i="6"/>
  <c r="Y10" i="7"/>
  <c r="Y12" i="7"/>
  <c r="Y32" i="6"/>
  <c r="Y37" i="6" s="1"/>
  <c r="AC6" i="4"/>
  <c r="AC10" i="4" s="1"/>
  <c r="J16" i="1"/>
  <c r="AC15" i="4"/>
  <c r="AC16" i="4"/>
  <c r="AC14" i="4"/>
  <c r="AC17" i="4"/>
  <c r="AB10" i="4"/>
  <c r="Z30" i="6"/>
  <c r="Z10" i="6"/>
  <c r="Q25" i="7"/>
  <c r="R40" i="6"/>
  <c r="Q41" i="6"/>
  <c r="P26" i="7"/>
  <c r="Z20" i="6" l="1"/>
  <c r="Y21" i="6"/>
  <c r="P16" i="6"/>
  <c r="O17" i="6"/>
  <c r="O23" i="6" s="1"/>
  <c r="D53" i="1"/>
  <c r="AE22" i="4"/>
  <c r="AF22" i="4" s="1"/>
  <c r="AE7" i="4"/>
  <c r="AF7" i="4" s="1"/>
  <c r="AE21" i="4"/>
  <c r="AF21" i="4" s="1"/>
  <c r="AE23" i="4"/>
  <c r="AF23" i="4" s="1"/>
  <c r="AE20" i="4"/>
  <c r="AF20" i="4" s="1"/>
  <c r="D85" i="1"/>
  <c r="AE8" i="4"/>
  <c r="AF8" i="4" s="1"/>
  <c r="AE27" i="4"/>
  <c r="AF27" i="4" s="1"/>
  <c r="AE28" i="4"/>
  <c r="AF28" i="4" s="1"/>
  <c r="AE29" i="4"/>
  <c r="AF29" i="4" s="1"/>
  <c r="AE26" i="4"/>
  <c r="AF26" i="4" s="1"/>
  <c r="N80" i="1"/>
  <c r="N48" i="1"/>
  <c r="AA9" i="6"/>
  <c r="AB33" i="4"/>
  <c r="AB63" i="4" s="1"/>
  <c r="AA10" i="7"/>
  <c r="Z12" i="7"/>
  <c r="AA12" i="7"/>
  <c r="Z32" i="6"/>
  <c r="Z37" i="6" s="1"/>
  <c r="AD6" i="4"/>
  <c r="M16" i="1"/>
  <c r="AD15" i="4"/>
  <c r="AD17" i="4"/>
  <c r="AD16" i="4"/>
  <c r="AD14" i="4"/>
  <c r="AA11" i="7"/>
  <c r="Z11" i="7"/>
  <c r="AC31" i="4"/>
  <c r="AC33" i="4" s="1"/>
  <c r="AC63" i="4" s="1"/>
  <c r="AB9" i="6"/>
  <c r="Z10" i="7"/>
  <c r="AA30" i="6"/>
  <c r="AA10" i="6"/>
  <c r="AB11" i="7" s="1"/>
  <c r="R41" i="6"/>
  <c r="Q26" i="7"/>
  <c r="Q29" i="7" s="1"/>
  <c r="P29" i="7"/>
  <c r="R25" i="7"/>
  <c r="S40" i="6"/>
  <c r="AA20" i="6" l="1"/>
  <c r="Z21" i="6"/>
  <c r="Q16" i="6"/>
  <c r="P17" i="6"/>
  <c r="P23" i="6" s="1"/>
  <c r="AC10" i="7"/>
  <c r="AG28" i="4"/>
  <c r="AG26" i="4"/>
  <c r="AG27" i="4"/>
  <c r="AG29" i="4"/>
  <c r="AG8" i="4"/>
  <c r="G85" i="1"/>
  <c r="AG7" i="4"/>
  <c r="AG21" i="4"/>
  <c r="AG23" i="4"/>
  <c r="AG20" i="4"/>
  <c r="AG22" i="4"/>
  <c r="G53" i="1"/>
  <c r="AD10" i="4"/>
  <c r="AC9" i="6" s="1"/>
  <c r="AA32" i="6"/>
  <c r="AA37" i="6" s="1"/>
  <c r="AB12" i="7"/>
  <c r="AB10" i="6"/>
  <c r="AB30" i="6"/>
  <c r="AB32" i="6" s="1"/>
  <c r="AB37" i="6" s="1"/>
  <c r="AB10" i="7"/>
  <c r="AD31" i="4"/>
  <c r="AE15" i="4"/>
  <c r="AF15" i="4" s="1"/>
  <c r="AE16" i="4"/>
  <c r="AF16" i="4" s="1"/>
  <c r="AE17" i="4"/>
  <c r="AF17" i="4" s="1"/>
  <c r="AE14" i="4"/>
  <c r="D21" i="1"/>
  <c r="AE6" i="4"/>
  <c r="AE10" i="4" s="1"/>
  <c r="AD9" i="6" s="1"/>
  <c r="N16" i="1"/>
  <c r="S25" i="7"/>
  <c r="T40" i="6"/>
  <c r="S41" i="6"/>
  <c r="R26" i="7"/>
  <c r="AB20" i="6" l="1"/>
  <c r="AA21" i="6"/>
  <c r="R16" i="6"/>
  <c r="Q17" i="6"/>
  <c r="Q23" i="6" s="1"/>
  <c r="J85" i="1"/>
  <c r="AH27" i="4"/>
  <c r="AH28" i="4"/>
  <c r="AH29" i="4"/>
  <c r="AH26" i="4"/>
  <c r="AH8" i="4"/>
  <c r="AF6" i="4"/>
  <c r="AF10" i="4" s="1"/>
  <c r="AE10" i="7"/>
  <c r="J53" i="1"/>
  <c r="AH21" i="4"/>
  <c r="AH22" i="4"/>
  <c r="AH23" i="4"/>
  <c r="AH20" i="4"/>
  <c r="AH7" i="4"/>
  <c r="AG14" i="4"/>
  <c r="AG15" i="4"/>
  <c r="AG16" i="4"/>
  <c r="AG17" i="4"/>
  <c r="AG6" i="4"/>
  <c r="G21" i="1"/>
  <c r="AE31" i="4"/>
  <c r="AC12" i="7"/>
  <c r="AD10" i="7"/>
  <c r="AF14" i="4"/>
  <c r="AF31" i="4" s="1"/>
  <c r="AD33" i="4"/>
  <c r="AD63" i="4" s="1"/>
  <c r="AD65" i="4" s="1"/>
  <c r="AC30" i="6"/>
  <c r="AC10" i="6"/>
  <c r="AF10" i="7"/>
  <c r="AC11" i="7"/>
  <c r="T25" i="7"/>
  <c r="U40" i="6"/>
  <c r="R29" i="7"/>
  <c r="T41" i="6"/>
  <c r="S26" i="7"/>
  <c r="AC20" i="6" l="1"/>
  <c r="AB21" i="6"/>
  <c r="S16" i="6"/>
  <c r="R17" i="6"/>
  <c r="R23" i="6" s="1"/>
  <c r="S29" i="7"/>
  <c r="AF33" i="4"/>
  <c r="AF63" i="4" s="1"/>
  <c r="M85" i="1"/>
  <c r="N85" i="1" s="1"/>
  <c r="N90" i="1" s="1"/>
  <c r="AI26" i="4"/>
  <c r="AI27" i="4"/>
  <c r="AI28" i="4"/>
  <c r="AI29" i="4"/>
  <c r="AI8" i="4"/>
  <c r="M53" i="1"/>
  <c r="AI20" i="4"/>
  <c r="AI21" i="4"/>
  <c r="AI22" i="4"/>
  <c r="AI23" i="4"/>
  <c r="AI7" i="4"/>
  <c r="AC32" i="6"/>
  <c r="AC37" i="6" s="1"/>
  <c r="AD12" i="7"/>
  <c r="AH6" i="4"/>
  <c r="AH10" i="4" s="1"/>
  <c r="J21" i="1"/>
  <c r="AH17" i="4"/>
  <c r="AH16" i="4"/>
  <c r="AH14" i="4"/>
  <c r="AH15" i="4"/>
  <c r="AE33" i="4"/>
  <c r="AE63" i="4" s="1"/>
  <c r="AE65" i="4" s="1"/>
  <c r="AD10" i="6"/>
  <c r="AE11" i="7" s="1"/>
  <c r="AD30" i="6"/>
  <c r="AD11" i="7"/>
  <c r="AG10" i="4"/>
  <c r="AG31" i="4"/>
  <c r="U25" i="7"/>
  <c r="V40" i="6"/>
  <c r="U41" i="6"/>
  <c r="T26" i="7"/>
  <c r="T29" i="7" s="1"/>
  <c r="AD67" i="4"/>
  <c r="AD20" i="6" l="1"/>
  <c r="AC21" i="6"/>
  <c r="S17" i="6"/>
  <c r="S23" i="6" s="1"/>
  <c r="T16" i="6"/>
  <c r="AJ21" i="4"/>
  <c r="AK21" i="4" s="1"/>
  <c r="AJ23" i="4"/>
  <c r="AK23" i="4" s="1"/>
  <c r="AJ7" i="4"/>
  <c r="AK7" i="4" s="1"/>
  <c r="AJ22" i="4"/>
  <c r="AK22" i="4" s="1"/>
  <c r="AJ20" i="4"/>
  <c r="AK20" i="4" s="1"/>
  <c r="AL28" i="4"/>
  <c r="AL26" i="4"/>
  <c r="AL29" i="4"/>
  <c r="AL27" i="4"/>
  <c r="AL8" i="4"/>
  <c r="N53" i="1"/>
  <c r="N58" i="1" s="1"/>
  <c r="AJ8" i="4"/>
  <c r="AK8" i="4" s="1"/>
  <c r="AJ27" i="4"/>
  <c r="AK27" i="4" s="1"/>
  <c r="AJ29" i="4"/>
  <c r="AK29" i="4" s="1"/>
  <c r="AJ28" i="4"/>
  <c r="AK28" i="4" s="1"/>
  <c r="AJ26" i="4"/>
  <c r="AK26" i="4" s="1"/>
  <c r="AE10" i="6"/>
  <c r="AE30" i="6"/>
  <c r="AG33" i="4"/>
  <c r="AG63" i="4" s="1"/>
  <c r="AG65" i="4" s="1"/>
  <c r="AE9" i="6"/>
  <c r="AF11" i="7"/>
  <c r="AH31" i="4"/>
  <c r="AH33" i="4" s="1"/>
  <c r="AH63" i="4" s="1"/>
  <c r="AH65" i="4" s="1"/>
  <c r="AF9" i="6"/>
  <c r="AE12" i="7"/>
  <c r="AD32" i="6"/>
  <c r="AD37" i="6" s="1"/>
  <c r="AF12" i="7"/>
  <c r="AI6" i="4"/>
  <c r="M21" i="1"/>
  <c r="N21" i="1" s="1"/>
  <c r="N26" i="1" s="1"/>
  <c r="AI15" i="4"/>
  <c r="AI17" i="4"/>
  <c r="AI16" i="4"/>
  <c r="AI14" i="4"/>
  <c r="AB7" i="5"/>
  <c r="AD7" i="7"/>
  <c r="AD14" i="7" s="1"/>
  <c r="V41" i="6"/>
  <c r="U26" i="7"/>
  <c r="V25" i="7"/>
  <c r="W40" i="6"/>
  <c r="AE67" i="4"/>
  <c r="AD21" i="6" l="1"/>
  <c r="AE20" i="6"/>
  <c r="T17" i="6"/>
  <c r="T23" i="6" s="1"/>
  <c r="U16" i="6"/>
  <c r="U29" i="7"/>
  <c r="AL22" i="4"/>
  <c r="AL7" i="4"/>
  <c r="AL21" i="4"/>
  <c r="AL23" i="4"/>
  <c r="AL20" i="4"/>
  <c r="AE32" i="6"/>
  <c r="AE37" i="6" s="1"/>
  <c r="AG12" i="7"/>
  <c r="AC7" i="5"/>
  <c r="AE7" i="7"/>
  <c r="AE14" i="7" s="1"/>
  <c r="AL17" i="4"/>
  <c r="AL6" i="4"/>
  <c r="AL15" i="4"/>
  <c r="AL14" i="4"/>
  <c r="AL16" i="4"/>
  <c r="AF10" i="6"/>
  <c r="AH11" i="7" s="1"/>
  <c r="AF30" i="6"/>
  <c r="AH10" i="7"/>
  <c r="AG10" i="7"/>
  <c r="AI31" i="4"/>
  <c r="AJ15" i="4"/>
  <c r="AK15" i="4" s="1"/>
  <c r="AJ16" i="4"/>
  <c r="AK16" i="4" s="1"/>
  <c r="AJ17" i="4"/>
  <c r="AK17" i="4" s="1"/>
  <c r="AJ14" i="4"/>
  <c r="AJ6" i="4"/>
  <c r="AJ10" i="4" s="1"/>
  <c r="AI10" i="4"/>
  <c r="AG9" i="6" s="1"/>
  <c r="AI10" i="7" s="1"/>
  <c r="AG11" i="7"/>
  <c r="W25" i="7"/>
  <c r="X40" i="6"/>
  <c r="W41" i="6"/>
  <c r="V26" i="7"/>
  <c r="AG67" i="4"/>
  <c r="AE21" i="6" l="1"/>
  <c r="AF20" i="6"/>
  <c r="U17" i="6"/>
  <c r="U23" i="6" s="1"/>
  <c r="V16" i="6"/>
  <c r="V29" i="7"/>
  <c r="AL10" i="4"/>
  <c r="AI9" i="6" s="1"/>
  <c r="AK6" i="4"/>
  <c r="AK10" i="4" s="1"/>
  <c r="AJ31" i="4"/>
  <c r="AH30" i="6" s="1"/>
  <c r="AD7" i="5"/>
  <c r="AG7" i="7"/>
  <c r="AG14" i="7" s="1"/>
  <c r="AL31" i="4"/>
  <c r="AH12" i="7"/>
  <c r="AF32" i="6"/>
  <c r="AF37" i="6" s="1"/>
  <c r="AK14" i="4"/>
  <c r="AK31" i="4" s="1"/>
  <c r="AI33" i="4"/>
  <c r="AI63" i="4" s="1"/>
  <c r="AG30" i="6"/>
  <c r="AG10" i="6"/>
  <c r="AI11" i="7" s="1"/>
  <c r="AH9" i="6"/>
  <c r="X41" i="6"/>
  <c r="W26" i="7"/>
  <c r="X25" i="7"/>
  <c r="Y40" i="6"/>
  <c r="AH67" i="4"/>
  <c r="AI65" i="4" l="1"/>
  <c r="AG20" i="6"/>
  <c r="AF21" i="6"/>
  <c r="W16" i="6"/>
  <c r="V17" i="6"/>
  <c r="V23" i="6" s="1"/>
  <c r="W29" i="7"/>
  <c r="AJ33" i="4"/>
  <c r="AJ63" i="4" s="1"/>
  <c r="AJ65" i="4" s="1"/>
  <c r="AK33" i="4"/>
  <c r="AK63" i="4" s="1"/>
  <c r="AH10" i="6"/>
  <c r="AK11" i="7" s="1"/>
  <c r="AG32" i="6"/>
  <c r="AG37" i="6" s="1"/>
  <c r="AI12" i="7"/>
  <c r="AL10" i="7"/>
  <c r="AK10" i="7"/>
  <c r="AL33" i="4"/>
  <c r="AL63" i="4" s="1"/>
  <c r="AL65" i="4" s="1"/>
  <c r="AI10" i="6"/>
  <c r="AI30" i="6"/>
  <c r="AE7" i="5"/>
  <c r="AH7" i="7"/>
  <c r="AH14" i="7" s="1"/>
  <c r="AH32" i="6"/>
  <c r="AH37" i="6" s="1"/>
  <c r="AK12" i="7"/>
  <c r="AJ12" i="7"/>
  <c r="AJ10" i="7"/>
  <c r="Y25" i="7"/>
  <c r="Z40" i="6"/>
  <c r="AA40" i="6" s="1"/>
  <c r="AB40" i="6" s="1"/>
  <c r="AC40" i="6" s="1"/>
  <c r="AD40" i="6" s="1"/>
  <c r="AE40" i="6" s="1"/>
  <c r="AF40" i="6" s="1"/>
  <c r="AG40" i="6" s="1"/>
  <c r="AH40" i="6" s="1"/>
  <c r="AI40" i="6" s="1"/>
  <c r="Y41" i="6"/>
  <c r="X26" i="7"/>
  <c r="X29" i="7" s="1"/>
  <c r="AK65" i="4" l="1"/>
  <c r="AI67" i="4"/>
  <c r="AH20" i="6"/>
  <c r="AG21" i="6"/>
  <c r="W17" i="6"/>
  <c r="W23" i="6" s="1"/>
  <c r="X16" i="6"/>
  <c r="AJ11" i="7"/>
  <c r="AL11" i="7"/>
  <c r="AL12" i="7"/>
  <c r="AI32" i="6"/>
  <c r="AI37" i="6" s="1"/>
  <c r="Z41" i="6"/>
  <c r="Y26" i="7"/>
  <c r="Z25" i="7"/>
  <c r="AJ67" i="4"/>
  <c r="AF7" i="5" l="1"/>
  <c r="AI7" i="7"/>
  <c r="AI14" i="7" s="1"/>
  <c r="AI20" i="6"/>
  <c r="AI21" i="6" s="1"/>
  <c r="AH21" i="6"/>
  <c r="Y16" i="6"/>
  <c r="X17" i="6"/>
  <c r="X23" i="6" s="1"/>
  <c r="Z26" i="7"/>
  <c r="Z29" i="7" s="1"/>
  <c r="AA41" i="6"/>
  <c r="AB41" i="6" s="1"/>
  <c r="AC41" i="6" s="1"/>
  <c r="AD41" i="6" s="1"/>
  <c r="AE41" i="6" s="1"/>
  <c r="AF41" i="6" s="1"/>
  <c r="AG41" i="6" s="1"/>
  <c r="AH41" i="6" s="1"/>
  <c r="AI41" i="6" s="1"/>
  <c r="Y29" i="7"/>
  <c r="AG7" i="5"/>
  <c r="AJ7" i="7"/>
  <c r="AJ14" i="7" s="1"/>
  <c r="AA25" i="7"/>
  <c r="AK67" i="4"/>
  <c r="AK7" i="7" s="1"/>
  <c r="AK14" i="7" s="1"/>
  <c r="AL67" i="4"/>
  <c r="Z16" i="6" l="1"/>
  <c r="Y17" i="6"/>
  <c r="Y23" i="6" s="1"/>
  <c r="AB25" i="7"/>
  <c r="AA26" i="7"/>
  <c r="AH7" i="5"/>
  <c r="AL7" i="7"/>
  <c r="AL14" i="7" s="1"/>
  <c r="K8" i="8"/>
  <c r="K14" i="8" s="1"/>
  <c r="K16" i="8" s="1"/>
  <c r="Q67" i="4"/>
  <c r="T67" i="4"/>
  <c r="O67" i="4"/>
  <c r="R67" i="4"/>
  <c r="N67" i="4"/>
  <c r="S67" i="4"/>
  <c r="P67" i="4"/>
  <c r="Y67" i="4"/>
  <c r="K67" i="4"/>
  <c r="I67" i="4"/>
  <c r="U67" i="4"/>
  <c r="E67" i="4"/>
  <c r="X67" i="4"/>
  <c r="M67" i="4"/>
  <c r="L67" i="4"/>
  <c r="C67" i="4"/>
  <c r="AA67" i="4"/>
  <c r="W67" i="4"/>
  <c r="D67" i="4"/>
  <c r="H67" i="4"/>
  <c r="F67" i="4"/>
  <c r="G67" i="4"/>
  <c r="V67" i="4"/>
  <c r="J67" i="4"/>
  <c r="Z67" i="4"/>
  <c r="B67" i="4"/>
  <c r="Z17" i="6" l="1"/>
  <c r="Z23" i="6" s="1"/>
  <c r="AA16" i="6"/>
  <c r="AB26" i="7"/>
  <c r="AB29" i="7" s="1"/>
  <c r="AA29" i="7"/>
  <c r="AC25" i="7"/>
  <c r="G7" i="5"/>
  <c r="G7" i="7"/>
  <c r="G14" i="7" s="1"/>
  <c r="G31" i="7" s="1"/>
  <c r="F7" i="5"/>
  <c r="F7" i="7"/>
  <c r="F14" i="7" s="1"/>
  <c r="F31" i="7" s="1"/>
  <c r="E7" i="5"/>
  <c r="E7" i="7"/>
  <c r="E14" i="7" s="1"/>
  <c r="E31" i="7" s="1"/>
  <c r="D7" i="5"/>
  <c r="D7" i="7"/>
  <c r="D14" i="7" s="1"/>
  <c r="D31" i="7" s="1"/>
  <c r="C7" i="5"/>
  <c r="C7" i="7"/>
  <c r="C14" i="7" s="1"/>
  <c r="C31" i="7" s="1"/>
  <c r="B7" i="5"/>
  <c r="B9" i="5" s="1"/>
  <c r="B7" i="7"/>
  <c r="B14" i="7" s="1"/>
  <c r="B31" i="7" s="1"/>
  <c r="B35" i="7" s="1"/>
  <c r="W7" i="5"/>
  <c r="X7" i="7"/>
  <c r="X14" i="7" s="1"/>
  <c r="X31" i="7" s="1"/>
  <c r="P7" i="5"/>
  <c r="Q7" i="7"/>
  <c r="Q14" i="7" s="1"/>
  <c r="Q31" i="7" s="1"/>
  <c r="X7" i="5"/>
  <c r="Y7" i="7"/>
  <c r="Y14" i="7" s="1"/>
  <c r="Y31" i="7" s="1"/>
  <c r="Q7" i="5"/>
  <c r="R7" i="7"/>
  <c r="R14" i="7" s="1"/>
  <c r="R31" i="7" s="1"/>
  <c r="M8" i="8"/>
  <c r="M14" i="8" s="1"/>
  <c r="V7" i="5"/>
  <c r="W7" i="7"/>
  <c r="W14" i="7" s="1"/>
  <c r="W31" i="7" s="1"/>
  <c r="M7" i="5"/>
  <c r="M7" i="7"/>
  <c r="M14" i="7" s="1"/>
  <c r="M31" i="7" s="1"/>
  <c r="R7" i="5"/>
  <c r="S7" i="7"/>
  <c r="S14" i="7" s="1"/>
  <c r="S31" i="7" s="1"/>
  <c r="S7" i="5"/>
  <c r="T7" i="7"/>
  <c r="T14" i="7" s="1"/>
  <c r="T31" i="7" s="1"/>
  <c r="Y7" i="5"/>
  <c r="Z7" i="7"/>
  <c r="Z14" i="7" s="1"/>
  <c r="Z31" i="7" s="1"/>
  <c r="U7" i="5"/>
  <c r="V7" i="7"/>
  <c r="V14" i="7" s="1"/>
  <c r="V31" i="7" s="1"/>
  <c r="T7" i="5"/>
  <c r="U7" i="7"/>
  <c r="U14" i="7" s="1"/>
  <c r="U31" i="7" s="1"/>
  <c r="O7" i="5"/>
  <c r="P7" i="7"/>
  <c r="P14" i="7" s="1"/>
  <c r="P31" i="7" s="1"/>
  <c r="N7" i="5"/>
  <c r="O7" i="7"/>
  <c r="L7" i="5"/>
  <c r="L7" i="7"/>
  <c r="L14" i="7" s="1"/>
  <c r="L31" i="7" s="1"/>
  <c r="K7" i="5"/>
  <c r="K7" i="7"/>
  <c r="K14" i="7" s="1"/>
  <c r="K31" i="7" s="1"/>
  <c r="J7" i="5"/>
  <c r="J7" i="7"/>
  <c r="J14" i="7" s="1"/>
  <c r="J31" i="7" s="1"/>
  <c r="I7" i="5"/>
  <c r="I7" i="7"/>
  <c r="I14" i="7" s="1"/>
  <c r="I31" i="7" s="1"/>
  <c r="H7" i="5"/>
  <c r="H7" i="7"/>
  <c r="B69" i="4" l="1"/>
  <c r="C69" i="4" s="1"/>
  <c r="D69" i="4" s="1"/>
  <c r="E69" i="4" s="1"/>
  <c r="F69" i="4" s="1"/>
  <c r="G69" i="4" s="1"/>
  <c r="H69" i="4" s="1"/>
  <c r="I69" i="4" s="1"/>
  <c r="J69" i="4" s="1"/>
  <c r="K69" i="4" s="1"/>
  <c r="L69" i="4" s="1"/>
  <c r="M69" i="4" s="1"/>
  <c r="N69" i="4" s="1"/>
  <c r="O69" i="4" s="1"/>
  <c r="P69" i="4" s="1"/>
  <c r="Q69" i="4" s="1"/>
  <c r="R69" i="4" s="1"/>
  <c r="S69" i="4" s="1"/>
  <c r="T69" i="4" s="1"/>
  <c r="U69" i="4" s="1"/>
  <c r="V69" i="4" s="1"/>
  <c r="W69" i="4" s="1"/>
  <c r="X69" i="4" s="1"/>
  <c r="Y69" i="4" s="1"/>
  <c r="Z69" i="4" s="1"/>
  <c r="AA69" i="4" s="1"/>
  <c r="AB16" i="6"/>
  <c r="AA17" i="6"/>
  <c r="AA23" i="6" s="1"/>
  <c r="AD25" i="7"/>
  <c r="AC26" i="7"/>
  <c r="B41" i="7"/>
  <c r="C33" i="7"/>
  <c r="C35" i="7" s="1"/>
  <c r="C8" i="6"/>
  <c r="C12" i="6" s="1"/>
  <c r="C25" i="6" s="1"/>
  <c r="AA7" i="7"/>
  <c r="AA14" i="7" s="1"/>
  <c r="O14" i="7"/>
  <c r="O31" i="7" s="1"/>
  <c r="O14" i="8"/>
  <c r="O16" i="8" s="1"/>
  <c r="M16" i="8"/>
  <c r="N7" i="7"/>
  <c r="N14" i="7" s="1"/>
  <c r="H14" i="7"/>
  <c r="H31" i="7" s="1"/>
  <c r="C6" i="5"/>
  <c r="C9" i="5" s="1"/>
  <c r="C42" i="6"/>
  <c r="C43" i="6" s="1"/>
  <c r="C45" i="6" s="1"/>
  <c r="AB17" i="6" l="1"/>
  <c r="AB23" i="6" s="1"/>
  <c r="AC16" i="6"/>
  <c r="AD26" i="7"/>
  <c r="AE26" i="7" s="1"/>
  <c r="AF26" i="7" s="1"/>
  <c r="AG26" i="7" s="1"/>
  <c r="AH26" i="7" s="1"/>
  <c r="AE25" i="7"/>
  <c r="AC29" i="7"/>
  <c r="C48" i="6"/>
  <c r="D8" i="6"/>
  <c r="D12" i="6" s="1"/>
  <c r="D25" i="6" s="1"/>
  <c r="C41" i="7"/>
  <c r="D33" i="7"/>
  <c r="D35" i="7" s="1"/>
  <c r="G8" i="8"/>
  <c r="G14" i="8" s="1"/>
  <c r="G16" i="8" s="1"/>
  <c r="AA31" i="7"/>
  <c r="E8" i="8"/>
  <c r="E14" i="8" s="1"/>
  <c r="E16" i="8" s="1"/>
  <c r="N31" i="7"/>
  <c r="N35" i="7" s="1"/>
  <c r="D6" i="5"/>
  <c r="D9" i="5" s="1"/>
  <c r="D42" i="6"/>
  <c r="D43" i="6" s="1"/>
  <c r="D45" i="6" s="1"/>
  <c r="AD29" i="7" l="1"/>
  <c r="AD31" i="7" s="1"/>
  <c r="AI26" i="7"/>
  <c r="AJ26" i="7" s="1"/>
  <c r="AD16" i="6"/>
  <c r="AC17" i="6"/>
  <c r="AC23" i="6" s="1"/>
  <c r="AE29" i="7"/>
  <c r="AE31" i="7" s="1"/>
  <c r="AF25" i="7"/>
  <c r="D41" i="7"/>
  <c r="E8" i="6"/>
  <c r="E12" i="6" s="1"/>
  <c r="E25" i="6" s="1"/>
  <c r="E33" i="7"/>
  <c r="E35" i="7" s="1"/>
  <c r="D48" i="6"/>
  <c r="O33" i="7"/>
  <c r="O35" i="7" s="1"/>
  <c r="N41" i="7"/>
  <c r="AA33" i="7"/>
  <c r="AA35" i="7" s="1"/>
  <c r="E6" i="5"/>
  <c r="E9" i="5" s="1"/>
  <c r="E42" i="6"/>
  <c r="E43" i="6" s="1"/>
  <c r="E45" i="6" s="1"/>
  <c r="AK26" i="7" l="1"/>
  <c r="AL26" i="7" s="1"/>
  <c r="E48" i="6"/>
  <c r="AE16" i="6"/>
  <c r="AD17" i="6"/>
  <c r="AD23" i="6" s="1"/>
  <c r="AF29" i="7"/>
  <c r="AG25" i="7"/>
  <c r="E41" i="7"/>
  <c r="F8" i="6"/>
  <c r="F12" i="6" s="1"/>
  <c r="F25" i="6" s="1"/>
  <c r="F33" i="7"/>
  <c r="F35" i="7" s="1"/>
  <c r="O8" i="6"/>
  <c r="O12" i="6" s="1"/>
  <c r="O25" i="6" s="1"/>
  <c r="P33" i="7"/>
  <c r="P35" i="7" s="1"/>
  <c r="O41" i="7"/>
  <c r="AA41" i="7"/>
  <c r="AB33" i="7"/>
  <c r="F6" i="5"/>
  <c r="F9" i="5" s="1"/>
  <c r="F42" i="6"/>
  <c r="F43" i="6" s="1"/>
  <c r="F45" i="6" s="1"/>
  <c r="AF16" i="6" l="1"/>
  <c r="AE17" i="6"/>
  <c r="AE23" i="6" s="1"/>
  <c r="AG29" i="7"/>
  <c r="AG31" i="7" s="1"/>
  <c r="AH25" i="7"/>
  <c r="F48" i="6"/>
  <c r="F41" i="7"/>
  <c r="G8" i="6"/>
  <c r="G12" i="6" s="1"/>
  <c r="G25" i="6" s="1"/>
  <c r="G33" i="7"/>
  <c r="G35" i="7" s="1"/>
  <c r="P41" i="7"/>
  <c r="P8" i="6"/>
  <c r="P12" i="6" s="1"/>
  <c r="P25" i="6" s="1"/>
  <c r="Q33" i="7"/>
  <c r="Q35" i="7" s="1"/>
  <c r="AF33" i="7"/>
  <c r="G6" i="5"/>
  <c r="G9" i="5" s="1"/>
  <c r="G42" i="6"/>
  <c r="G43" i="6" s="1"/>
  <c r="G45" i="6" s="1"/>
  <c r="AF17" i="6" l="1"/>
  <c r="AF23" i="6" s="1"/>
  <c r="AG16" i="6"/>
  <c r="AH29" i="7"/>
  <c r="AH31" i="7" s="1"/>
  <c r="AI25" i="7"/>
  <c r="H33" i="7"/>
  <c r="H35" i="7" s="1"/>
  <c r="H8" i="6"/>
  <c r="H12" i="6" s="1"/>
  <c r="H25" i="6" s="1"/>
  <c r="G41" i="7"/>
  <c r="G48" i="6"/>
  <c r="Q8" i="6"/>
  <c r="Q12" i="6" s="1"/>
  <c r="Q25" i="6" s="1"/>
  <c r="Q41" i="7"/>
  <c r="R33" i="7"/>
  <c r="R35" i="7" s="1"/>
  <c r="H6" i="5"/>
  <c r="H9" i="5" s="1"/>
  <c r="H42" i="6"/>
  <c r="H43" i="6" s="1"/>
  <c r="H45" i="6" s="1"/>
  <c r="H48" i="6" l="1"/>
  <c r="AH16" i="6"/>
  <c r="AG17" i="6"/>
  <c r="AG23" i="6" s="1"/>
  <c r="AI29" i="7"/>
  <c r="AI31" i="7" s="1"/>
  <c r="AJ25" i="7"/>
  <c r="I33" i="7"/>
  <c r="I35" i="7" s="1"/>
  <c r="I8" i="6"/>
  <c r="I12" i="6" s="1"/>
  <c r="I25" i="6" s="1"/>
  <c r="H41" i="7"/>
  <c r="R8" i="6"/>
  <c r="R12" i="6" s="1"/>
  <c r="R25" i="6" s="1"/>
  <c r="S33" i="7"/>
  <c r="S35" i="7" s="1"/>
  <c r="R41" i="7"/>
  <c r="I6" i="5"/>
  <c r="I9" i="5" s="1"/>
  <c r="I42" i="6"/>
  <c r="I43" i="6" s="1"/>
  <c r="I45" i="6" s="1"/>
  <c r="AI16" i="6" l="1"/>
  <c r="AI17" i="6" s="1"/>
  <c r="AI23" i="6" s="1"/>
  <c r="AH17" i="6"/>
  <c r="AH23" i="6" s="1"/>
  <c r="AJ29" i="7"/>
  <c r="AJ31" i="7" s="1"/>
  <c r="AK25" i="7"/>
  <c r="I48" i="6"/>
  <c r="J33" i="7"/>
  <c r="J35" i="7" s="1"/>
  <c r="I41" i="7"/>
  <c r="J8" i="6"/>
  <c r="J12" i="6" s="1"/>
  <c r="J25" i="6" s="1"/>
  <c r="T33" i="7"/>
  <c r="T35" i="7" s="1"/>
  <c r="S8" i="6"/>
  <c r="S12" i="6" s="1"/>
  <c r="S25" i="6" s="1"/>
  <c r="S41" i="7"/>
  <c r="J6" i="5"/>
  <c r="J9" i="5" s="1"/>
  <c r="J42" i="6"/>
  <c r="J43" i="6" s="1"/>
  <c r="J45" i="6" s="1"/>
  <c r="AK29" i="7" l="1"/>
  <c r="AK31" i="7" s="1"/>
  <c r="AL25" i="7"/>
  <c r="AL29" i="7" s="1"/>
  <c r="AL31" i="7" s="1"/>
  <c r="J48" i="6"/>
  <c r="J41" i="7"/>
  <c r="K33" i="7"/>
  <c r="K35" i="7" s="1"/>
  <c r="K8" i="6"/>
  <c r="K12" i="6" s="1"/>
  <c r="K25" i="6" s="1"/>
  <c r="T8" i="6"/>
  <c r="T12" i="6" s="1"/>
  <c r="T25" i="6" s="1"/>
  <c r="T41" i="7"/>
  <c r="U33" i="7"/>
  <c r="U35" i="7" s="1"/>
  <c r="K6" i="5"/>
  <c r="K9" i="5" s="1"/>
  <c r="K42" i="6"/>
  <c r="K43" i="6" s="1"/>
  <c r="K45" i="6" s="1"/>
  <c r="K48" i="6" l="1"/>
  <c r="L8" i="6"/>
  <c r="L12" i="6" s="1"/>
  <c r="L25" i="6" s="1"/>
  <c r="L33" i="7"/>
  <c r="L35" i="7" s="1"/>
  <c r="K41" i="7"/>
  <c r="U8" i="6"/>
  <c r="U12" i="6" s="1"/>
  <c r="U25" i="6" s="1"/>
  <c r="V33" i="7"/>
  <c r="V35" i="7" s="1"/>
  <c r="U41" i="7"/>
  <c r="L6" i="5"/>
  <c r="L9" i="5" s="1"/>
  <c r="L42" i="6"/>
  <c r="L43" i="6" s="1"/>
  <c r="L45" i="6" s="1"/>
  <c r="L48" i="6" l="1"/>
  <c r="M33" i="7"/>
  <c r="M35" i="7" s="1"/>
  <c r="L41" i="7"/>
  <c r="M8" i="6"/>
  <c r="M12" i="6" s="1"/>
  <c r="M25" i="6" s="1"/>
  <c r="V41" i="7"/>
  <c r="V8" i="6"/>
  <c r="V12" i="6" s="1"/>
  <c r="V25" i="6" s="1"/>
  <c r="W33" i="7"/>
  <c r="W35" i="7" s="1"/>
  <c r="M6" i="5"/>
  <c r="M9" i="5" s="1"/>
  <c r="M42" i="6"/>
  <c r="M43" i="6" s="1"/>
  <c r="M45" i="6" s="1"/>
  <c r="M48" i="6" l="1"/>
  <c r="M41" i="7"/>
  <c r="N8" i="6"/>
  <c r="N12" i="6" s="1"/>
  <c r="N25" i="6" s="1"/>
  <c r="X33" i="7"/>
  <c r="X35" i="7" s="1"/>
  <c r="W41" i="7"/>
  <c r="W8" i="6"/>
  <c r="W12" i="6" s="1"/>
  <c r="W25" i="6" s="1"/>
  <c r="N6" i="5"/>
  <c r="N9" i="5" s="1"/>
  <c r="N42" i="6"/>
  <c r="N43" i="6" s="1"/>
  <c r="N45" i="6" s="1"/>
  <c r="N48" i="6" l="1"/>
  <c r="X8" i="6"/>
  <c r="X12" i="6" s="1"/>
  <c r="X25" i="6" s="1"/>
  <c r="Y33" i="7"/>
  <c r="Y35" i="7" s="1"/>
  <c r="X41" i="7"/>
  <c r="O42" i="6"/>
  <c r="O43" i="6" s="1"/>
  <c r="O45" i="6" s="1"/>
  <c r="O48" i="6" s="1"/>
  <c r="O6" i="5"/>
  <c r="O9" i="5" s="1"/>
  <c r="Y8" i="6" l="1"/>
  <c r="Y12" i="6" s="1"/>
  <c r="Y25" i="6" s="1"/>
  <c r="Z33" i="7"/>
  <c r="Z35" i="7" s="1"/>
  <c r="Y41" i="7"/>
  <c r="P6" i="5"/>
  <c r="P9" i="5" s="1"/>
  <c r="P42" i="6"/>
  <c r="P43" i="6" s="1"/>
  <c r="P45" i="6" s="1"/>
  <c r="P48" i="6" s="1"/>
  <c r="Z41" i="7" l="1"/>
  <c r="Z8" i="6"/>
  <c r="Z12" i="6" s="1"/>
  <c r="Z25" i="6" s="1"/>
  <c r="Q6" i="5"/>
  <c r="Q9" i="5" s="1"/>
  <c r="Q42" i="6"/>
  <c r="Q43" i="6" s="1"/>
  <c r="Q45" i="6" s="1"/>
  <c r="Q48" i="6" s="1"/>
  <c r="R6" i="5" l="1"/>
  <c r="R9" i="5" s="1"/>
  <c r="R42" i="6"/>
  <c r="R43" i="6" s="1"/>
  <c r="R45" i="6" s="1"/>
  <c r="R48" i="6" s="1"/>
  <c r="S6" i="5" l="1"/>
  <c r="S9" i="5" s="1"/>
  <c r="S42" i="6"/>
  <c r="S43" i="6" s="1"/>
  <c r="S45" i="6" s="1"/>
  <c r="S48" i="6" s="1"/>
  <c r="T6" i="5" l="1"/>
  <c r="T9" i="5" s="1"/>
  <c r="T42" i="6"/>
  <c r="T43" i="6" s="1"/>
  <c r="T45" i="6" s="1"/>
  <c r="T48" i="6" s="1"/>
  <c r="U6" i="5" l="1"/>
  <c r="U9" i="5" s="1"/>
  <c r="U42" i="6"/>
  <c r="U43" i="6" s="1"/>
  <c r="U45" i="6" s="1"/>
  <c r="U48" i="6" s="1"/>
  <c r="V6" i="5" l="1"/>
  <c r="V9" i="5" s="1"/>
  <c r="V42" i="6"/>
  <c r="V43" i="6" s="1"/>
  <c r="V45" i="6" s="1"/>
  <c r="V48" i="6" s="1"/>
  <c r="W6" i="5" l="1"/>
  <c r="W9" i="5" s="1"/>
  <c r="W42" i="6"/>
  <c r="W43" i="6" s="1"/>
  <c r="W45" i="6" s="1"/>
  <c r="W48" i="6" s="1"/>
  <c r="X6" i="5" l="1"/>
  <c r="X9" i="5" s="1"/>
  <c r="X42" i="6"/>
  <c r="X43" i="6" s="1"/>
  <c r="X45" i="6" s="1"/>
  <c r="X48" i="6" s="1"/>
  <c r="Y6" i="5" l="1"/>
  <c r="Y9" i="5" s="1"/>
  <c r="Y42" i="6"/>
  <c r="Y43" i="6" s="1"/>
  <c r="Y45" i="6" s="1"/>
  <c r="Y48" i="6" s="1"/>
  <c r="Z6" i="5" l="1"/>
  <c r="Z42" i="6"/>
  <c r="Z43" i="6" s="1"/>
  <c r="Z45" i="6" s="1"/>
  <c r="Z48" i="6" s="1"/>
  <c r="AB67" i="4"/>
  <c r="AB69" i="4" s="1"/>
  <c r="AC65" i="4" l="1"/>
  <c r="AB7" i="7"/>
  <c r="AB14" i="7" s="1"/>
  <c r="AB31" i="7" s="1"/>
  <c r="AB35" i="7" s="1"/>
  <c r="AA8" i="6" s="1"/>
  <c r="AA12" i="6" s="1"/>
  <c r="AA25" i="6" s="1"/>
  <c r="Z7" i="5"/>
  <c r="Z9" i="5" s="1"/>
  <c r="AC67" i="4" l="1"/>
  <c r="AF65" i="4"/>
  <c r="AF67" i="4" s="1"/>
  <c r="AF7" i="7" s="1"/>
  <c r="AF14" i="7" s="1"/>
  <c r="AC33" i="7"/>
  <c r="AB41" i="7"/>
  <c r="AA6" i="5"/>
  <c r="AA42" i="6"/>
  <c r="AA43" i="6" s="1"/>
  <c r="AA45" i="6" s="1"/>
  <c r="AA48" i="6" s="1"/>
  <c r="AC7" i="7" l="1"/>
  <c r="AC14" i="7" s="1"/>
  <c r="AC31" i="7" s="1"/>
  <c r="AC35" i="7" s="1"/>
  <c r="AA7" i="5"/>
  <c r="AA9" i="5" s="1"/>
  <c r="AB42" i="6" s="1"/>
  <c r="AB43" i="6" s="1"/>
  <c r="AB45" i="6" s="1"/>
  <c r="AC69" i="4"/>
  <c r="AD69" i="4" s="1"/>
  <c r="AE69" i="4" s="1"/>
  <c r="AF69" i="4" s="1"/>
  <c r="AG69" i="4" s="1"/>
  <c r="AH69" i="4" s="1"/>
  <c r="AI69" i="4" s="1"/>
  <c r="AJ69" i="4" s="1"/>
  <c r="AK69" i="4" s="1"/>
  <c r="AL69" i="4" s="1"/>
  <c r="I8" i="8"/>
  <c r="I14" i="8" s="1"/>
  <c r="I16" i="8" s="1"/>
  <c r="C18" i="8" s="1"/>
  <c r="C20" i="8" s="1"/>
  <c r="AF31" i="7"/>
  <c r="AF35" i="7" s="1"/>
  <c r="AD33" i="7" l="1"/>
  <c r="AD35" i="7" s="1"/>
  <c r="AB8" i="6"/>
  <c r="AB12" i="6" s="1"/>
  <c r="AB25" i="6" s="1"/>
  <c r="AB48" i="6" s="1"/>
  <c r="AC41" i="7"/>
  <c r="AG33" i="7"/>
  <c r="AF41" i="7"/>
  <c r="AB6" i="5"/>
  <c r="AB9" i="5" s="1"/>
  <c r="AC6" i="5" s="1"/>
  <c r="AC9" i="5" s="1"/>
  <c r="AC42" i="6" l="1"/>
  <c r="AC43" i="6" s="1"/>
  <c r="AC45" i="6" s="1"/>
  <c r="AK33" i="7"/>
  <c r="AK35" i="7" s="1"/>
  <c r="AG35" i="7"/>
  <c r="AC8" i="6"/>
  <c r="AC12" i="6" s="1"/>
  <c r="AC25" i="6" s="1"/>
  <c r="AE33" i="7"/>
  <c r="AE35" i="7" s="1"/>
  <c r="AD41" i="7"/>
  <c r="AD6" i="5"/>
  <c r="AD9" i="5" s="1"/>
  <c r="AD42" i="6"/>
  <c r="AD43" i="6" s="1"/>
  <c r="AD45" i="6" s="1"/>
  <c r="AC48" i="6" l="1"/>
  <c r="AE8" i="6"/>
  <c r="AE12" i="6" s="1"/>
  <c r="AE25" i="6" s="1"/>
  <c r="AH33" i="7"/>
  <c r="AH35" i="7" s="1"/>
  <c r="AG41" i="7"/>
  <c r="AD8" i="6"/>
  <c r="AD12" i="6" s="1"/>
  <c r="AD25" i="6" s="1"/>
  <c r="AD48" i="6" s="1"/>
  <c r="AE41" i="7"/>
  <c r="AL33" i="7"/>
  <c r="AL35" i="7" s="1"/>
  <c r="AK41" i="7"/>
  <c r="AE6" i="5"/>
  <c r="AE9" i="5" s="1"/>
  <c r="AE42" i="6"/>
  <c r="AE43" i="6" s="1"/>
  <c r="AE45" i="6" s="1"/>
  <c r="AI8" i="6" l="1"/>
  <c r="AI12" i="6" s="1"/>
  <c r="AI25" i="6" s="1"/>
  <c r="AL41" i="7"/>
  <c r="AE48" i="6"/>
  <c r="AH41" i="7"/>
  <c r="AF8" i="6"/>
  <c r="AF12" i="6" s="1"/>
  <c r="AF25" i="6" s="1"/>
  <c r="AI33" i="7"/>
  <c r="AI35" i="7" s="1"/>
  <c r="AF6" i="5"/>
  <c r="AF9" i="5" s="1"/>
  <c r="AF42" i="6"/>
  <c r="AF43" i="6" s="1"/>
  <c r="AF45" i="6" s="1"/>
  <c r="AF48" i="6" l="1"/>
  <c r="AI41" i="7"/>
  <c r="AG8" i="6"/>
  <c r="AG12" i="6" s="1"/>
  <c r="AG25" i="6" s="1"/>
  <c r="AJ33" i="7"/>
  <c r="AJ35" i="7" s="1"/>
  <c r="AG6" i="5"/>
  <c r="AG9" i="5" s="1"/>
  <c r="AG42" i="6"/>
  <c r="AG43" i="6" s="1"/>
  <c r="AG45" i="6" s="1"/>
  <c r="AG48" i="6" l="1"/>
  <c r="AJ41" i="7"/>
  <c r="AH8" i="6"/>
  <c r="AH12" i="6" s="1"/>
  <c r="AH25" i="6" s="1"/>
  <c r="AH42" i="6"/>
  <c r="AH43" i="6" s="1"/>
  <c r="AH45" i="6" s="1"/>
  <c r="AH6" i="5"/>
  <c r="AH9" i="5" s="1"/>
  <c r="AI42" i="6" s="1"/>
  <c r="AI43" i="6" s="1"/>
  <c r="AI45" i="6" s="1"/>
  <c r="AI48" i="6" s="1"/>
  <c r="AH48"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Superman</author>
  </authors>
  <commentList>
    <comment ref="B1" authorId="0" shapeId="0" xr:uid="{00000000-0006-0000-0500-000001000000}">
      <text>
        <r>
          <rPr>
            <b/>
            <sz val="9"/>
            <color indexed="81"/>
            <rFont val="Tahoma"/>
            <family val="2"/>
          </rPr>
          <t>Superman:</t>
        </r>
        <r>
          <rPr>
            <sz val="9"/>
            <color indexed="81"/>
            <rFont val="Tahoma"/>
            <family val="2"/>
          </rPr>
          <t xml:space="preserve">
Change this to your Company's Name</t>
        </r>
      </text>
    </comment>
    <comment ref="N1" authorId="0" shapeId="0" xr:uid="{00000000-0006-0000-0500-000002000000}">
      <text>
        <r>
          <rPr>
            <b/>
            <sz val="9"/>
            <color indexed="81"/>
            <rFont val="Tahoma"/>
            <family val="2"/>
          </rPr>
          <t>Superman:</t>
        </r>
        <r>
          <rPr>
            <sz val="9"/>
            <color indexed="81"/>
            <rFont val="Tahoma"/>
            <family val="2"/>
          </rPr>
          <t xml:space="preserve">
Change this to your Company's Name</t>
        </r>
      </text>
    </comment>
    <comment ref="Z1" authorId="0" shapeId="0" xr:uid="{00000000-0006-0000-0500-000003000000}">
      <text>
        <r>
          <rPr>
            <b/>
            <sz val="9"/>
            <color indexed="81"/>
            <rFont val="Tahoma"/>
            <family val="2"/>
          </rPr>
          <t>Superman:</t>
        </r>
        <r>
          <rPr>
            <sz val="9"/>
            <color indexed="81"/>
            <rFont val="Tahoma"/>
            <family val="2"/>
          </rPr>
          <t xml:space="preserve">
Change this to your Company's Name</t>
        </r>
      </text>
    </comment>
    <comment ref="B4" authorId="0" shapeId="0" xr:uid="{00000000-0006-0000-0500-000004000000}">
      <text>
        <r>
          <rPr>
            <b/>
            <sz val="9"/>
            <color indexed="81"/>
            <rFont val="Tahoma"/>
            <family val="2"/>
          </rPr>
          <t>Superman:</t>
        </r>
        <r>
          <rPr>
            <sz val="9"/>
            <color indexed="81"/>
            <rFont val="Tahoma"/>
            <family val="2"/>
          </rPr>
          <t xml:space="preserve">
Change this to your beginning year of operations</t>
        </r>
      </text>
    </comment>
    <comment ref="N4" authorId="0" shapeId="0" xr:uid="{00000000-0006-0000-0500-000005000000}">
      <text>
        <r>
          <rPr>
            <b/>
            <sz val="9"/>
            <color indexed="81"/>
            <rFont val="Tahoma"/>
            <family val="2"/>
          </rPr>
          <t>Superman:</t>
        </r>
        <r>
          <rPr>
            <sz val="9"/>
            <color indexed="81"/>
            <rFont val="Tahoma"/>
            <family val="2"/>
          </rPr>
          <t xml:space="preserve">
Change this to your second 
year of operations</t>
        </r>
      </text>
    </comment>
    <comment ref="Z4" authorId="0" shapeId="0" xr:uid="{00000000-0006-0000-0500-000006000000}">
      <text>
        <r>
          <rPr>
            <b/>
            <sz val="9"/>
            <color indexed="81"/>
            <rFont val="Tahoma"/>
            <family val="2"/>
          </rPr>
          <t>Superman:</t>
        </r>
        <r>
          <rPr>
            <sz val="9"/>
            <color indexed="81"/>
            <rFont val="Tahoma"/>
            <family val="2"/>
          </rPr>
          <t xml:space="preserve">
Change this to your third
year of operations</t>
        </r>
      </text>
    </comment>
    <comment ref="AD4" authorId="0" shapeId="0" xr:uid="{00000000-0006-0000-0500-000007000000}">
      <text>
        <r>
          <rPr>
            <b/>
            <sz val="9"/>
            <color indexed="81"/>
            <rFont val="Tahoma"/>
            <family val="2"/>
          </rPr>
          <t>Superman:</t>
        </r>
        <r>
          <rPr>
            <sz val="9"/>
            <color indexed="81"/>
            <rFont val="Tahoma"/>
            <family val="2"/>
          </rPr>
          <t xml:space="preserve">
Change this to your forth
year of operations</t>
        </r>
      </text>
    </comment>
    <comment ref="AH4" authorId="0" shapeId="0" xr:uid="{00000000-0006-0000-0500-000008000000}">
      <text>
        <r>
          <rPr>
            <b/>
            <sz val="9"/>
            <color indexed="81"/>
            <rFont val="Tahoma"/>
            <family val="2"/>
          </rPr>
          <t>Superman:</t>
        </r>
        <r>
          <rPr>
            <sz val="9"/>
            <color indexed="81"/>
            <rFont val="Tahoma"/>
            <family val="2"/>
          </rPr>
          <t xml:space="preserve">
Change this to your fifth year of operations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Superman</author>
  </authors>
  <commentList>
    <comment ref="B1" authorId="0" shapeId="0" xr:uid="{00000000-0006-0000-0800-000001000000}">
      <text>
        <r>
          <rPr>
            <b/>
            <sz val="9"/>
            <color indexed="81"/>
            <rFont val="Tahoma"/>
            <family val="2"/>
          </rPr>
          <t>Superman:</t>
        </r>
        <r>
          <rPr>
            <sz val="9"/>
            <color indexed="81"/>
            <rFont val="Tahoma"/>
            <family val="2"/>
          </rPr>
          <t xml:space="preserve">
Change this to your Company's Name</t>
        </r>
      </text>
    </comment>
  </commentList>
</comments>
</file>

<file path=xl/sharedStrings.xml><?xml version="1.0" encoding="utf-8"?>
<sst xmlns="http://schemas.openxmlformats.org/spreadsheetml/2006/main" count="567" uniqueCount="197">
  <si>
    <t>How to use this template.</t>
  </si>
  <si>
    <t>Before you start making any changes to this spreadsheet for your company's specific data, you should look at the template as it is and UNDERSTAND how it works and why things are done the way they are.</t>
  </si>
  <si>
    <t>There are several notes in the spreadsheet, you should read these ALL.  They are designed to help you understand how/why things are linked the way they are.  Some contain instructions for you to follow.</t>
  </si>
  <si>
    <t>Any yellow box you should input something.  The orange boxes are calculated.  The orange cells are not locked.  This is because this template is designed for the most common businesses we have seen in the competition.  Specific companies may have to do something other than what has been designed in the template.  But make sure that you are certain you want to make a change before you do.</t>
  </si>
  <si>
    <t>The template was designed to handle up to three different revenue streams.  If you have more than this, you will have to adapt the spreadsheet for additional income streams.  If you have less than three revenue streams you can hide/delete these rows in the financial statements.  If you decide to hide lines, just make sure you have entered a $0 on the assumptions tab.</t>
  </si>
  <si>
    <t>The expenses given on the Income Statement Assumptions tab are very common expenses.  You can change the names of them if you want on the Assumptions tab.  The expenses on the Assumptions tab are linked directly to the Income Statement.  So if you change them on the assumptions page it will automatically correct it on the financial statements.  Again if you do not have all of the expenses, you can hide/delete them from the Income Statement.  DO NOT DELETE THEM ON THE ASSUMPTIONS TAB.  If you decide to hide lines, just make sure you have entered a $0 on the assumptions tab.</t>
  </si>
  <si>
    <t>The input numbers in this template are completely absurd numbers.  Do not assume that they are correct.  You should change pretty much every number in yellow.</t>
  </si>
  <si>
    <t>Sales:</t>
  </si>
  <si>
    <t>Product 1 sale via web</t>
  </si>
  <si>
    <t>Year 1</t>
  </si>
  <si>
    <t>January</t>
  </si>
  <si>
    <t>February</t>
  </si>
  <si>
    <t>March</t>
  </si>
  <si>
    <t>April</t>
  </si>
  <si>
    <t>May</t>
  </si>
  <si>
    <t>June</t>
  </si>
  <si>
    <t>July</t>
  </si>
  <si>
    <t>August</t>
  </si>
  <si>
    <t>September</t>
  </si>
  <si>
    <t>October</t>
  </si>
  <si>
    <t>November</t>
  </si>
  <si>
    <t>December</t>
  </si>
  <si>
    <t>Total</t>
  </si>
  <si>
    <t>Price per Unit</t>
  </si>
  <si>
    <t>Units Sold</t>
  </si>
  <si>
    <t>Year 2</t>
  </si>
  <si>
    <t>Year 3</t>
  </si>
  <si>
    <t>Quarter 1</t>
  </si>
  <si>
    <t>Quarter 2</t>
  </si>
  <si>
    <t>Quarter 3</t>
  </si>
  <si>
    <t>Quarter 4</t>
  </si>
  <si>
    <t>Year 4</t>
  </si>
  <si>
    <t>Year 5</t>
  </si>
  <si>
    <t>Annual Rate</t>
  </si>
  <si>
    <t>Periodic Rate</t>
  </si>
  <si>
    <t>Year 2 Percentage Sales Growth</t>
  </si>
  <si>
    <t>Year 3 Percentage Sales Growth</t>
  </si>
  <si>
    <t>Year 4 Percentage Sales Growth</t>
  </si>
  <si>
    <t>Year 5 Percentage Sales Growth</t>
  </si>
  <si>
    <t>Product 2  Sale via Retailer</t>
  </si>
  <si>
    <t>Product 3 Service plan</t>
  </si>
  <si>
    <t>Costs of Goods Sold</t>
  </si>
  <si>
    <t>Product 1 Internet sale</t>
  </si>
  <si>
    <t>Cost per Unit</t>
  </si>
  <si>
    <t>Annual Increase</t>
  </si>
  <si>
    <t>outsourced product</t>
  </si>
  <si>
    <t>3PL</t>
  </si>
  <si>
    <t>CC fee</t>
  </si>
  <si>
    <t>warranty</t>
  </si>
  <si>
    <t>Product 2 via retailer</t>
  </si>
  <si>
    <t>Outsourced product</t>
  </si>
  <si>
    <t>Product 3 service plan</t>
  </si>
  <si>
    <t>repair labor</t>
  </si>
  <si>
    <t>shipping</t>
  </si>
  <si>
    <t>Common Operating Expenses</t>
  </si>
  <si>
    <t>Administrative:</t>
    <phoneticPr fontId="0" type="noConversion"/>
  </si>
  <si>
    <t>Annual Costs</t>
  </si>
  <si>
    <t>Start up Expenses</t>
  </si>
  <si>
    <t>Rent of Office Plus Utilities</t>
    <phoneticPr fontId="0" type="noConversion"/>
  </si>
  <si>
    <t>Office Supplies</t>
  </si>
  <si>
    <t>Other Staff Salaries</t>
  </si>
  <si>
    <t>Executive Salaries</t>
  </si>
  <si>
    <t>Website Maintenance</t>
  </si>
  <si>
    <t>General Liability Insurance</t>
  </si>
  <si>
    <t>Depreciation Expense</t>
  </si>
  <si>
    <t xml:space="preserve">Amortization Expense </t>
  </si>
  <si>
    <t>Payroll Tax Expense</t>
  </si>
  <si>
    <t>Product Liability Insurance</t>
  </si>
  <si>
    <t>Vehicle Leases</t>
  </si>
  <si>
    <t>Vehicle maintenance</t>
  </si>
  <si>
    <t>Selling:</t>
  </si>
  <si>
    <t>Marketing &amp; Advertising Expense</t>
    <phoneticPr fontId="0" type="noConversion"/>
  </si>
  <si>
    <t>Tradeshows</t>
  </si>
  <si>
    <t>Other Assumptions</t>
  </si>
  <si>
    <t>Payroll Tax/Benefits</t>
  </si>
  <si>
    <t>Income Tax Rate (Fed/State)</t>
  </si>
  <si>
    <t>Assets:</t>
  </si>
  <si>
    <t>Minimum Cash On Hand</t>
  </si>
  <si>
    <t>Accounts Receivable as a percentage of sales</t>
  </si>
  <si>
    <t>Inventory as a percentage of COGS</t>
  </si>
  <si>
    <t>Fixed Assets - See Fixed Asset Tab</t>
  </si>
  <si>
    <t>Liabilities:</t>
  </si>
  <si>
    <t>Accounts Payable as a percentage of COGS</t>
  </si>
  <si>
    <t>Owners' Equity:</t>
  </si>
  <si>
    <t>$20,000 per founder</t>
  </si>
  <si>
    <t>Angel Investor's Contribution</t>
  </si>
  <si>
    <t>We solve for this later.</t>
  </si>
  <si>
    <t>Dividends Paid</t>
  </si>
  <si>
    <t>Note:  Do not think that just because you intend to work out of your parents garage/basement that you will not have fixed assets.  If you have a sales force, don't assume that they are going to be using their own office equipment either.   Also as your company grows you need to add more office furniture and equipment.  If you are making a million dollars in sales you need more than what you started with.</t>
  </si>
  <si>
    <t>Tangible Asstes:  Original Purchases Only</t>
  </si>
  <si>
    <t>Office:</t>
  </si>
  <si>
    <t>Computers</t>
  </si>
  <si>
    <t>Phones</t>
  </si>
  <si>
    <t>Other Office Equipment</t>
  </si>
  <si>
    <t>Production:</t>
  </si>
  <si>
    <t>Machinery</t>
  </si>
  <si>
    <t xml:space="preserve">Transportation - Vehicle </t>
  </si>
  <si>
    <t>Other Production Equipment</t>
  </si>
  <si>
    <t>Trade Booth for shows</t>
  </si>
  <si>
    <t>Other Sales Equipment</t>
  </si>
  <si>
    <t>Total Additions to Fixed Assets</t>
  </si>
  <si>
    <t>Total Fixed Assets</t>
  </si>
  <si>
    <t>Useful Life</t>
  </si>
  <si>
    <t>Annual Depreciation Expense</t>
  </si>
  <si>
    <t>Periodic Depreciation Expense</t>
  </si>
  <si>
    <t>Intangible Asstes:  Original Purchases Only</t>
  </si>
  <si>
    <t>Patents</t>
  </si>
  <si>
    <t>Trademarks</t>
  </si>
  <si>
    <t>Other Intangible Assest</t>
  </si>
  <si>
    <t>Total Additions to Intangible Assets</t>
  </si>
  <si>
    <t>Company Name</t>
  </si>
  <si>
    <t>Income Statement</t>
  </si>
  <si>
    <t xml:space="preserve">Year 4 </t>
  </si>
  <si>
    <t>Revenue</t>
  </si>
  <si>
    <t>Product 1</t>
  </si>
  <si>
    <t>Product 2</t>
  </si>
  <si>
    <t>Product 3</t>
  </si>
  <si>
    <t>Total Revenue</t>
  </si>
  <si>
    <t>Cost of Goods Sold</t>
  </si>
  <si>
    <t>Total COGS</t>
  </si>
  <si>
    <t>Total Gross Margin</t>
  </si>
  <si>
    <t>Total Selling &amp; Adminstrative Expenses</t>
  </si>
  <si>
    <t>Earnings/(Loss) Before Taxes</t>
  </si>
  <si>
    <t>Income Tax Expense</t>
  </si>
  <si>
    <t>Net Income/(Loss)</t>
  </si>
  <si>
    <t>Net Operating Loss Carryover</t>
  </si>
  <si>
    <t>Statement of Retained Earnings</t>
  </si>
  <si>
    <t>Beginning Retained Earnings</t>
  </si>
  <si>
    <t>Dividends</t>
  </si>
  <si>
    <t>Ending Retained Earnings</t>
  </si>
  <si>
    <t>Balance Sheet</t>
  </si>
  <si>
    <t>Current Assets</t>
  </si>
  <si>
    <t>Cash</t>
  </si>
  <si>
    <t>Accounts Receivable</t>
  </si>
  <si>
    <t>Inventory</t>
  </si>
  <si>
    <t>Other Current Assets</t>
  </si>
  <si>
    <t>Total Current Assets</t>
  </si>
  <si>
    <t>Non-Current Assets</t>
  </si>
  <si>
    <t>Property, Plant, &amp; Equipment</t>
  </si>
  <si>
    <t>Accumulated Depreciation</t>
  </si>
  <si>
    <t>Net PP&amp;E</t>
  </si>
  <si>
    <t>Intangible Assets</t>
  </si>
  <si>
    <t>Accumulated Amortization</t>
  </si>
  <si>
    <t>Net Intangible Assets</t>
  </si>
  <si>
    <t>Total Non-Current Assets</t>
  </si>
  <si>
    <t>Total Assets</t>
  </si>
  <si>
    <t>Current Liabilities</t>
  </si>
  <si>
    <t>Accounts Payable</t>
  </si>
  <si>
    <t>Other Current Liabilities</t>
  </si>
  <si>
    <t>Total Current Liabilities</t>
  </si>
  <si>
    <t>Non-Current Liabilities</t>
  </si>
  <si>
    <t>Other Long Term Liabilities</t>
  </si>
  <si>
    <t>Total Liabilties</t>
  </si>
  <si>
    <t>Owners' Equity</t>
  </si>
  <si>
    <t>Founders' Investment</t>
  </si>
  <si>
    <t>Angel Investor's Investment</t>
  </si>
  <si>
    <t>Retained Earnings</t>
  </si>
  <si>
    <t>Total Owners' Equity</t>
  </si>
  <si>
    <t>Total Liabilties &amp; Owners' Equity</t>
  </si>
  <si>
    <t>Cash Flow Statement</t>
  </si>
  <si>
    <t>Operations</t>
  </si>
  <si>
    <t>Net Income</t>
  </si>
  <si>
    <t>(Inc/Dec) in A/R</t>
  </si>
  <si>
    <t>(Inc/Dec) in Inventory</t>
  </si>
  <si>
    <t>(Inc/Dec) in A/P</t>
  </si>
  <si>
    <t>Net Cash Flow from Operations</t>
  </si>
  <si>
    <t>Investing Activities</t>
  </si>
  <si>
    <t>Cash Paid for Fixed Assets</t>
  </si>
  <si>
    <t>Cash Paid for Intangible Assets</t>
  </si>
  <si>
    <t>Net Cash Flow from Investing</t>
  </si>
  <si>
    <t>Financing Activities</t>
  </si>
  <si>
    <t>Cash from Founders</t>
  </si>
  <si>
    <t>Cash from Angel Investor</t>
  </si>
  <si>
    <t>Dividends to Shareholders</t>
  </si>
  <si>
    <t>Net Cash Flow from Financing</t>
  </si>
  <si>
    <t>Net Change in Cash</t>
  </si>
  <si>
    <t>Beginning Cash Balance</t>
  </si>
  <si>
    <t>Ending Cash Balance</t>
  </si>
  <si>
    <t>Minimum Cash Reserve</t>
  </si>
  <si>
    <t>Do we fall below the minimum?</t>
  </si>
  <si>
    <t>Valuation</t>
  </si>
  <si>
    <t>Year 0</t>
  </si>
  <si>
    <t>Horizon Value Year 5</t>
  </si>
  <si>
    <t>Initial Cash Outlay</t>
  </si>
  <si>
    <t>Operating Cash Flow</t>
  </si>
  <si>
    <t>Capital Expenditures</t>
  </si>
  <si>
    <t>Payments to Shareholders</t>
  </si>
  <si>
    <t>Free Cash Flow</t>
  </si>
  <si>
    <t>Discounted Free Cash Flows</t>
  </si>
  <si>
    <t>NPV</t>
  </si>
  <si>
    <t>Dilution</t>
  </si>
  <si>
    <t>20-40%</t>
  </si>
  <si>
    <t>250-1MM</t>
  </si>
  <si>
    <t xml:space="preserve">Discount Rate </t>
  </si>
  <si>
    <t>Estimated Long Term Industry Growth Rate</t>
  </si>
  <si>
    <t>3X your monthly burn rate</t>
  </si>
  <si>
    <t xml:space="preserve">Founders' Contribution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</si>
</sst>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_(&quot;$&quot;* #,##0_);_(&quot;$&quot;* \(#,##0\);_(&quot;$&quot;* &quot;-&quot;??_);_(@_)"/>
    <numFmt numFmtId="166" formatCode="_(* #,##0_);_(* \(#,##0\);_(* &quot;-&quot;??_);_(@_)"/>
    <numFmt numFmtId="167" formatCode="0.0000%"/>
  </numFmts>
  <fonts count="13" x14ac:knownFonts="1">
    <font>
      <sz val="11"/>
      <color theme="1"/>
      <name val="Calibri"/>
      <family val="2"/>
      <scheme val="minor"/>
    </font>
    <font>
      <sz val="11"/>
      <color theme="1"/>
      <name val="Calibri"/>
      <family val="2"/>
      <scheme val="minor"/>
    </font>
    <font>
      <sz val="12"/>
      <color theme="1"/>
      <name val="Times New Roman"/>
      <family val="1"/>
    </font>
    <font>
      <sz val="9"/>
      <color indexed="81"/>
      <name val="Tahoma"/>
      <family val="2"/>
    </font>
    <font>
      <b/>
      <sz val="9"/>
      <color indexed="81"/>
      <name val="Tahoma"/>
      <family val="2"/>
    </font>
    <font>
      <b/>
      <i/>
      <sz val="12"/>
      <name val="Times New Roman"/>
      <family val="1"/>
    </font>
    <font>
      <sz val="12"/>
      <name val="Times New Roman"/>
      <family val="1"/>
    </font>
    <font>
      <sz val="14"/>
      <color theme="1"/>
      <name val="Times New Roman"/>
      <family val="1"/>
    </font>
    <font>
      <b/>
      <sz val="14"/>
      <color theme="1"/>
      <name val="Times New Roman"/>
      <family val="1"/>
    </font>
    <font>
      <b/>
      <sz val="12"/>
      <color theme="1"/>
      <name val="Times New Roman"/>
      <family val="1"/>
    </font>
    <font>
      <b/>
      <i/>
      <sz val="12"/>
      <color theme="1"/>
      <name val="Times New Roman"/>
      <family val="1"/>
    </font>
    <font>
      <b/>
      <sz val="14"/>
      <color indexed="9"/>
      <name val="Times New Roman"/>
      <family val="1"/>
    </font>
    <font>
      <b/>
      <sz val="12"/>
      <color indexed="9"/>
      <name val="Times New Roman"/>
      <family val="1"/>
    </font>
  </fonts>
  <fills count="9">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4"/>
        <bgColor indexed="64"/>
      </patternFill>
    </fill>
    <fill>
      <patternFill patternType="solid">
        <fgColor theme="1"/>
        <bgColor indexed="64"/>
      </patternFill>
    </fill>
    <fill>
      <patternFill patternType="solid">
        <fgColor rgb="FF92D050"/>
        <bgColor indexed="64"/>
      </patternFill>
    </fill>
    <fill>
      <patternFill patternType="solid">
        <fgColor theme="8" tint="0.79998168889431442"/>
        <bgColor indexed="64"/>
      </patternFill>
    </fill>
    <fill>
      <patternFill patternType="solid">
        <fgColor rgb="FF00B0F0"/>
        <bgColor indexed="64"/>
      </patternFill>
    </fill>
  </fills>
  <borders count="22">
    <border>
      <left/>
      <right/>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uble">
        <color indexed="64"/>
      </bottom>
      <diagonal/>
    </border>
    <border>
      <left/>
      <right style="medium">
        <color indexed="64"/>
      </right>
      <top style="medium">
        <color indexed="64"/>
      </top>
      <bottom style="medium">
        <color indexed="64"/>
      </bottom>
      <diagonal/>
    </border>
    <border>
      <left style="thin">
        <color indexed="64"/>
      </left>
      <right/>
      <top/>
      <bottom style="double">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bottom style="double">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35">
    <xf numFmtId="0" fontId="0" fillId="0" borderId="0" xfId="0"/>
    <xf numFmtId="0" fontId="2" fillId="0" borderId="0" xfId="0" applyFont="1"/>
    <xf numFmtId="165" fontId="5" fillId="0" borderId="0" xfId="0" applyNumberFormat="1" applyFont="1" applyAlignment="1">
      <alignment horizontal="left" vertical="center"/>
    </xf>
    <xf numFmtId="165" fontId="6" fillId="0" borderId="0" xfId="0" applyNumberFormat="1" applyFont="1" applyAlignment="1">
      <alignment horizontal="left" vertical="center" indent="1"/>
    </xf>
    <xf numFmtId="0" fontId="2" fillId="0" borderId="0" xfId="0" applyFont="1" applyAlignment="1">
      <alignment horizontal="center"/>
    </xf>
    <xf numFmtId="166" fontId="2" fillId="2" borderId="1" xfId="1" applyNumberFormat="1" applyFont="1" applyFill="1" applyBorder="1"/>
    <xf numFmtId="166" fontId="2" fillId="3" borderId="1" xfId="1" applyNumberFormat="1" applyFont="1" applyFill="1" applyBorder="1"/>
    <xf numFmtId="10" fontId="2" fillId="3" borderId="1" xfId="3" applyNumberFormat="1" applyFont="1" applyFill="1" applyBorder="1"/>
    <xf numFmtId="9" fontId="2" fillId="2" borderId="1" xfId="3" applyFont="1" applyFill="1" applyBorder="1"/>
    <xf numFmtId="9" fontId="2" fillId="0" borderId="0" xfId="3" applyFont="1" applyFill="1" applyBorder="1"/>
    <xf numFmtId="10" fontId="2" fillId="0" borderId="0" xfId="3" applyNumberFormat="1" applyFont="1" applyFill="1" applyBorder="1"/>
    <xf numFmtId="0" fontId="9" fillId="0" borderId="0" xfId="0" applyFont="1"/>
    <xf numFmtId="0" fontId="9" fillId="0" borderId="0" xfId="0" applyFont="1" applyAlignment="1">
      <alignment horizontal="center"/>
    </xf>
    <xf numFmtId="166" fontId="2" fillId="0" borderId="0" xfId="1" applyNumberFormat="1" applyFont="1" applyFill="1" applyBorder="1"/>
    <xf numFmtId="9" fontId="2" fillId="3" borderId="1" xfId="3" applyFont="1" applyFill="1" applyBorder="1"/>
    <xf numFmtId="10" fontId="2" fillId="2" borderId="1" xfId="3" applyNumberFormat="1" applyFont="1" applyFill="1" applyBorder="1"/>
    <xf numFmtId="166" fontId="2" fillId="5" borderId="1" xfId="1" applyNumberFormat="1" applyFont="1" applyFill="1" applyBorder="1"/>
    <xf numFmtId="44" fontId="2" fillId="2" borderId="1" xfId="2" applyFont="1" applyFill="1" applyBorder="1"/>
    <xf numFmtId="165" fontId="2" fillId="2" borderId="1" xfId="2" applyNumberFormat="1" applyFont="1" applyFill="1" applyBorder="1"/>
    <xf numFmtId="0" fontId="10" fillId="0" borderId="0" xfId="0" applyFont="1"/>
    <xf numFmtId="10" fontId="2" fillId="5" borderId="1" xfId="3" applyNumberFormat="1" applyFont="1" applyFill="1" applyBorder="1"/>
    <xf numFmtId="0" fontId="9" fillId="0" borderId="2" xfId="0" applyFont="1" applyBorder="1" applyAlignment="1">
      <alignment horizontal="center"/>
    </xf>
    <xf numFmtId="44" fontId="2" fillId="0" borderId="0" xfId="2" applyFont="1"/>
    <xf numFmtId="44" fontId="2" fillId="0" borderId="0" xfId="2" applyFont="1" applyFill="1" applyBorder="1"/>
    <xf numFmtId="44" fontId="2" fillId="3" borderId="11" xfId="0" applyNumberFormat="1" applyFont="1" applyFill="1" applyBorder="1"/>
    <xf numFmtId="37" fontId="2" fillId="2" borderId="1" xfId="1" applyNumberFormat="1" applyFont="1" applyFill="1" applyBorder="1" applyAlignment="1">
      <alignment horizontal="center"/>
    </xf>
    <xf numFmtId="44" fontId="2" fillId="3" borderId="0" xfId="0" applyNumberFormat="1" applyFont="1" applyFill="1"/>
    <xf numFmtId="44" fontId="2" fillId="3" borderId="11" xfId="2" applyFont="1" applyFill="1" applyBorder="1"/>
    <xf numFmtId="17" fontId="11" fillId="4" borderId="0" xfId="0" applyNumberFormat="1" applyFont="1" applyFill="1" applyAlignment="1" applyProtection="1">
      <alignment horizontal="center" vertical="center"/>
      <protection locked="0"/>
    </xf>
    <xf numFmtId="0" fontId="7" fillId="0" borderId="0" xfId="0" applyFont="1"/>
    <xf numFmtId="0" fontId="2" fillId="6" borderId="0" xfId="0" applyFont="1" applyFill="1"/>
    <xf numFmtId="0" fontId="11" fillId="4" borderId="0" xfId="0" applyFont="1" applyFill="1" applyAlignment="1">
      <alignment horizontal="center" vertical="center"/>
    </xf>
    <xf numFmtId="0" fontId="7" fillId="0" borderId="0" xfId="0" applyFont="1" applyAlignment="1">
      <alignment horizontal="center"/>
    </xf>
    <xf numFmtId="44" fontId="2" fillId="0" borderId="2" xfId="0" applyNumberFormat="1" applyFont="1" applyBorder="1"/>
    <xf numFmtId="0" fontId="2" fillId="0" borderId="2" xfId="0" applyFont="1" applyBorder="1"/>
    <xf numFmtId="43" fontId="2" fillId="0" borderId="0" xfId="0" applyNumberFormat="1" applyFont="1"/>
    <xf numFmtId="165" fontId="11" fillId="4" borderId="0" xfId="0" applyNumberFormat="1" applyFont="1" applyFill="1" applyAlignment="1">
      <alignment vertical="center"/>
    </xf>
    <xf numFmtId="166" fontId="2" fillId="5" borderId="12" xfId="1" applyNumberFormat="1" applyFont="1" applyFill="1" applyBorder="1"/>
    <xf numFmtId="165" fontId="2" fillId="0" borderId="0" xfId="0" applyNumberFormat="1" applyFont="1"/>
    <xf numFmtId="165" fontId="2" fillId="0" borderId="2" xfId="0" applyNumberFormat="1" applyFont="1" applyBorder="1"/>
    <xf numFmtId="165" fontId="2" fillId="0" borderId="11" xfId="0" applyNumberFormat="1" applyFont="1" applyBorder="1"/>
    <xf numFmtId="165" fontId="9" fillId="0" borderId="2" xfId="0" applyNumberFormat="1" applyFont="1" applyBorder="1"/>
    <xf numFmtId="165" fontId="9" fillId="0" borderId="11" xfId="0" applyNumberFormat="1" applyFont="1" applyBorder="1"/>
    <xf numFmtId="41" fontId="2" fillId="0" borderId="0" xfId="0" applyNumberFormat="1" applyFont="1"/>
    <xf numFmtId="41" fontId="2" fillId="0" borderId="2" xfId="0" applyNumberFormat="1" applyFont="1" applyBorder="1"/>
    <xf numFmtId="41" fontId="11" fillId="4" borderId="0" xfId="0" applyNumberFormat="1" applyFont="1" applyFill="1" applyAlignment="1">
      <alignment vertical="center"/>
    </xf>
    <xf numFmtId="41" fontId="2" fillId="0" borderId="0" xfId="2" applyNumberFormat="1" applyFont="1"/>
    <xf numFmtId="41" fontId="2" fillId="0" borderId="2" xfId="2" applyNumberFormat="1" applyFont="1" applyBorder="1"/>
    <xf numFmtId="42" fontId="9" fillId="0" borderId="0" xfId="0" applyNumberFormat="1" applyFont="1"/>
    <xf numFmtId="42" fontId="2" fillId="0" borderId="0" xfId="0" applyNumberFormat="1" applyFont="1"/>
    <xf numFmtId="42" fontId="2" fillId="0" borderId="0" xfId="2" applyNumberFormat="1" applyFont="1"/>
    <xf numFmtId="42" fontId="9" fillId="0" borderId="2" xfId="0" applyNumberFormat="1" applyFont="1" applyBorder="1"/>
    <xf numFmtId="42" fontId="9" fillId="0" borderId="11" xfId="0" applyNumberFormat="1" applyFont="1" applyBorder="1"/>
    <xf numFmtId="17" fontId="11" fillId="4" borderId="14" xfId="0" applyNumberFormat="1" applyFont="1" applyFill="1" applyBorder="1" applyAlignment="1" applyProtection="1">
      <alignment horizontal="center" vertical="center"/>
      <protection locked="0"/>
    </xf>
    <xf numFmtId="165" fontId="2" fillId="0" borderId="14" xfId="0" applyNumberFormat="1" applyFont="1" applyBorder="1"/>
    <xf numFmtId="41" fontId="2" fillId="0" borderId="14" xfId="0" applyNumberFormat="1" applyFont="1" applyBorder="1"/>
    <xf numFmtId="41" fontId="2" fillId="0" borderId="15" xfId="0" applyNumberFormat="1" applyFont="1" applyBorder="1"/>
    <xf numFmtId="42" fontId="9" fillId="0" borderId="14" xfId="0" applyNumberFormat="1" applyFont="1" applyBorder="1"/>
    <xf numFmtId="41" fontId="11" fillId="4" borderId="14" xfId="0" applyNumberFormat="1" applyFont="1" applyFill="1" applyBorder="1" applyAlignment="1">
      <alignment vertical="center"/>
    </xf>
    <xf numFmtId="42" fontId="2" fillId="0" borderId="14" xfId="0" applyNumberFormat="1" applyFont="1" applyBorder="1"/>
    <xf numFmtId="42" fontId="9" fillId="0" borderId="15" xfId="0" applyNumberFormat="1" applyFont="1" applyBorder="1"/>
    <xf numFmtId="42" fontId="2" fillId="0" borderId="14" xfId="2" applyNumberFormat="1" applyFont="1" applyBorder="1"/>
    <xf numFmtId="42" fontId="2" fillId="0" borderId="0" xfId="2" applyNumberFormat="1" applyFont="1" applyBorder="1"/>
    <xf numFmtId="41" fontId="2" fillId="0" borderId="14" xfId="2" applyNumberFormat="1" applyFont="1" applyBorder="1"/>
    <xf numFmtId="41" fontId="2" fillId="0" borderId="0" xfId="2" applyNumberFormat="1" applyFont="1" applyBorder="1"/>
    <xf numFmtId="41" fontId="2" fillId="0" borderId="15" xfId="2" applyNumberFormat="1" applyFont="1" applyBorder="1"/>
    <xf numFmtId="42" fontId="9" fillId="0" borderId="13" xfId="0" applyNumberFormat="1" applyFont="1" applyBorder="1"/>
    <xf numFmtId="17" fontId="11" fillId="4" borderId="16" xfId="0" applyNumberFormat="1" applyFont="1" applyFill="1" applyBorder="1" applyAlignment="1" applyProtection="1">
      <alignment horizontal="center" vertical="center"/>
      <protection locked="0"/>
    </xf>
    <xf numFmtId="165" fontId="2" fillId="0" borderId="16" xfId="0" applyNumberFormat="1" applyFont="1" applyBorder="1"/>
    <xf numFmtId="41" fontId="2" fillId="0" borderId="16" xfId="0" applyNumberFormat="1" applyFont="1" applyBorder="1"/>
    <xf numFmtId="41" fontId="2" fillId="0" borderId="17" xfId="0" applyNumberFormat="1" applyFont="1" applyBorder="1"/>
    <xf numFmtId="42" fontId="9" fillId="0" borderId="16" xfId="0" applyNumberFormat="1" applyFont="1" applyBorder="1"/>
    <xf numFmtId="41" fontId="11" fillId="4" borderId="16" xfId="0" applyNumberFormat="1" applyFont="1" applyFill="1" applyBorder="1" applyAlignment="1">
      <alignment vertical="center"/>
    </xf>
    <xf numFmtId="42" fontId="2" fillId="0" borderId="16" xfId="0" applyNumberFormat="1" applyFont="1" applyBorder="1"/>
    <xf numFmtId="42" fontId="9" fillId="0" borderId="17" xfId="0" applyNumberFormat="1" applyFont="1" applyBorder="1"/>
    <xf numFmtId="42" fontId="9" fillId="0" borderId="18" xfId="0" applyNumberFormat="1" applyFont="1" applyBorder="1"/>
    <xf numFmtId="0" fontId="12" fillId="4" borderId="0" xfId="0" applyFont="1" applyFill="1" applyAlignment="1">
      <alignment horizontal="center" vertical="center"/>
    </xf>
    <xf numFmtId="17" fontId="12" fillId="4" borderId="0" xfId="0" applyNumberFormat="1" applyFont="1" applyFill="1" applyAlignment="1" applyProtection="1">
      <alignment horizontal="center" vertical="center"/>
      <protection locked="0"/>
    </xf>
    <xf numFmtId="0" fontId="8" fillId="0" borderId="0" xfId="0" applyFont="1"/>
    <xf numFmtId="0" fontId="8" fillId="2" borderId="0" xfId="0" applyFont="1" applyFill="1" applyAlignment="1">
      <alignment horizontal="center"/>
    </xf>
    <xf numFmtId="165" fontId="2" fillId="0" borderId="18" xfId="0" applyNumberFormat="1" applyFont="1" applyBorder="1"/>
    <xf numFmtId="165" fontId="2" fillId="0" borderId="15" xfId="0" applyNumberFormat="1" applyFont="1" applyBorder="1"/>
    <xf numFmtId="165" fontId="2" fillId="0" borderId="13" xfId="0" applyNumberFormat="1" applyFont="1" applyBorder="1"/>
    <xf numFmtId="0" fontId="11" fillId="4" borderId="0" xfId="0" applyFont="1" applyFill="1" applyAlignment="1">
      <alignment horizontal="left" vertical="center"/>
    </xf>
    <xf numFmtId="165" fontId="2" fillId="0" borderId="19" xfId="0" applyNumberFormat="1" applyFont="1" applyBorder="1"/>
    <xf numFmtId="42" fontId="9" fillId="0" borderId="19" xfId="0" applyNumberFormat="1" applyFont="1" applyBorder="1"/>
    <xf numFmtId="0" fontId="6" fillId="0" borderId="0" xfId="0" applyFont="1" applyAlignment="1" applyProtection="1">
      <alignment horizontal="left" vertical="center" indent="1"/>
      <protection locked="0"/>
    </xf>
    <xf numFmtId="0" fontId="6" fillId="0" borderId="0" xfId="0" applyFont="1" applyAlignment="1">
      <alignment horizontal="left" vertical="center" indent="1"/>
    </xf>
    <xf numFmtId="42" fontId="2" fillId="0" borderId="11" xfId="0" applyNumberFormat="1" applyFont="1" applyBorder="1"/>
    <xf numFmtId="0" fontId="2" fillId="0" borderId="14" xfId="0" applyFont="1" applyBorder="1"/>
    <xf numFmtId="165" fontId="2" fillId="0" borderId="20" xfId="0" applyNumberFormat="1" applyFont="1" applyBorder="1"/>
    <xf numFmtId="165" fontId="9" fillId="0" borderId="15" xfId="0" applyNumberFormat="1" applyFont="1" applyBorder="1"/>
    <xf numFmtId="42" fontId="9" fillId="0" borderId="20" xfId="0" applyNumberFormat="1" applyFont="1" applyBorder="1"/>
    <xf numFmtId="165" fontId="9" fillId="0" borderId="13" xfId="0" applyNumberFormat="1" applyFont="1" applyBorder="1"/>
    <xf numFmtId="0" fontId="2" fillId="0" borderId="16" xfId="0" applyFont="1" applyBorder="1"/>
    <xf numFmtId="165" fontId="2" fillId="0" borderId="21" xfId="0" applyNumberFormat="1" applyFont="1" applyBorder="1"/>
    <xf numFmtId="165" fontId="9" fillId="0" borderId="17" xfId="0" applyNumberFormat="1" applyFont="1" applyBorder="1"/>
    <xf numFmtId="42" fontId="9" fillId="0" borderId="21" xfId="0" applyNumberFormat="1" applyFont="1" applyBorder="1"/>
    <xf numFmtId="165" fontId="9" fillId="0" borderId="18" xfId="0" applyNumberFormat="1" applyFont="1" applyBorder="1"/>
    <xf numFmtId="0" fontId="11" fillId="4" borderId="16" xfId="0" applyFont="1" applyFill="1" applyBorder="1" applyAlignment="1">
      <alignment horizontal="center" vertical="center"/>
    </xf>
    <xf numFmtId="42" fontId="2" fillId="0" borderId="18" xfId="0" applyNumberFormat="1" applyFont="1" applyBorder="1"/>
    <xf numFmtId="0" fontId="11" fillId="4" borderId="14" xfId="0" applyFont="1" applyFill="1" applyBorder="1" applyAlignment="1">
      <alignment horizontal="center" vertical="center"/>
    </xf>
    <xf numFmtId="42" fontId="2" fillId="0" borderId="13" xfId="0" applyNumberFormat="1" applyFont="1" applyBorder="1"/>
    <xf numFmtId="164" fontId="2" fillId="2" borderId="11" xfId="3" applyNumberFormat="1" applyFont="1" applyFill="1" applyBorder="1"/>
    <xf numFmtId="42" fontId="2" fillId="6" borderId="11" xfId="0" applyNumberFormat="1" applyFont="1" applyFill="1" applyBorder="1"/>
    <xf numFmtId="167" fontId="2" fillId="6" borderId="11" xfId="3" applyNumberFormat="1" applyFont="1" applyFill="1" applyBorder="1"/>
    <xf numFmtId="167" fontId="2" fillId="0" borderId="0" xfId="3" applyNumberFormat="1" applyFont="1" applyFill="1" applyBorder="1"/>
    <xf numFmtId="0" fontId="2" fillId="0" borderId="0" xfId="0" applyFont="1" applyAlignment="1">
      <alignment horizontal="left" wrapText="1"/>
    </xf>
    <xf numFmtId="0" fontId="2" fillId="0" borderId="0" xfId="0" applyFont="1" applyAlignment="1">
      <alignment horizontal="center" wrapText="1"/>
    </xf>
    <xf numFmtId="0" fontId="2" fillId="2" borderId="0" xfId="0" applyFont="1" applyFill="1"/>
    <xf numFmtId="41" fontId="2" fillId="2" borderId="2" xfId="2" applyNumberFormat="1" applyFont="1" applyFill="1" applyBorder="1"/>
    <xf numFmtId="41" fontId="2" fillId="2" borderId="17" xfId="2" applyNumberFormat="1" applyFont="1" applyFill="1" applyBorder="1"/>
    <xf numFmtId="42" fontId="2" fillId="2" borderId="11" xfId="0" applyNumberFormat="1" applyFont="1" applyFill="1" applyBorder="1"/>
    <xf numFmtId="41" fontId="2" fillId="2" borderId="0" xfId="2" applyNumberFormat="1" applyFont="1" applyFill="1"/>
    <xf numFmtId="41" fontId="2" fillId="8" borderId="2" xfId="2" applyNumberFormat="1" applyFont="1" applyFill="1" applyBorder="1"/>
    <xf numFmtId="0" fontId="2" fillId="8" borderId="0" xfId="0" applyFont="1" applyFill="1"/>
    <xf numFmtId="0" fontId="2" fillId="8" borderId="0" xfId="0" applyFont="1" applyFill="1" applyAlignment="1">
      <alignment horizontal="center"/>
    </xf>
    <xf numFmtId="0" fontId="2" fillId="0" borderId="0" xfId="0" applyFont="1" applyAlignment="1">
      <alignment horizontal="left" wrapText="1"/>
    </xf>
    <xf numFmtId="0" fontId="8" fillId="0" borderId="0" xfId="0" applyFont="1" applyAlignment="1">
      <alignment horizontal="center"/>
    </xf>
    <xf numFmtId="0" fontId="8" fillId="6" borderId="2" xfId="0" applyFont="1" applyFill="1" applyBorder="1" applyAlignment="1">
      <alignment horizontal="center"/>
    </xf>
    <xf numFmtId="0" fontId="2" fillId="0" borderId="2" xfId="0" applyFont="1" applyBorder="1" applyAlignment="1">
      <alignment horizontal="center"/>
    </xf>
    <xf numFmtId="0" fontId="10" fillId="7" borderId="3" xfId="0" applyFont="1" applyFill="1" applyBorder="1" applyAlignment="1">
      <alignment horizontal="center" vertical="center" wrapText="1"/>
    </xf>
    <xf numFmtId="0" fontId="10" fillId="7" borderId="4" xfId="0" applyFont="1" applyFill="1" applyBorder="1" applyAlignment="1">
      <alignment horizontal="center" vertical="center" wrapText="1"/>
    </xf>
    <xf numFmtId="0" fontId="10" fillId="7" borderId="5" xfId="0" applyFont="1" applyFill="1" applyBorder="1" applyAlignment="1">
      <alignment horizontal="center" vertical="center" wrapText="1"/>
    </xf>
    <xf numFmtId="0" fontId="10" fillId="7" borderId="6" xfId="0" applyFont="1" applyFill="1" applyBorder="1" applyAlignment="1">
      <alignment horizontal="center" vertical="center" wrapText="1"/>
    </xf>
    <xf numFmtId="0" fontId="10" fillId="7" borderId="0" xfId="0" applyFont="1" applyFill="1" applyAlignment="1">
      <alignment horizontal="center" vertical="center" wrapText="1"/>
    </xf>
    <xf numFmtId="0" fontId="10" fillId="7" borderId="7" xfId="0" applyFont="1" applyFill="1" applyBorder="1" applyAlignment="1">
      <alignment horizontal="center" vertical="center" wrapText="1"/>
    </xf>
    <xf numFmtId="0" fontId="10" fillId="7" borderId="8" xfId="0" applyFont="1" applyFill="1" applyBorder="1" applyAlignment="1">
      <alignment horizontal="center" vertical="center" wrapText="1"/>
    </xf>
    <xf numFmtId="0" fontId="10" fillId="7" borderId="9" xfId="0" applyFont="1" applyFill="1" applyBorder="1" applyAlignment="1">
      <alignment horizontal="center" vertical="center" wrapText="1"/>
    </xf>
    <xf numFmtId="0" fontId="10" fillId="7" borderId="10" xfId="0" applyFont="1" applyFill="1" applyBorder="1" applyAlignment="1">
      <alignment horizontal="center" vertical="center" wrapText="1"/>
    </xf>
    <xf numFmtId="0" fontId="8" fillId="2" borderId="0" xfId="0" applyFont="1" applyFill="1" applyAlignment="1">
      <alignment horizontal="center"/>
    </xf>
    <xf numFmtId="0" fontId="8" fillId="2" borderId="14" xfId="0" applyFont="1" applyFill="1" applyBorder="1" applyAlignment="1">
      <alignment horizontal="center"/>
    </xf>
    <xf numFmtId="0" fontId="8" fillId="2" borderId="16" xfId="0" applyFont="1" applyFill="1" applyBorder="1" applyAlignment="1">
      <alignment horizontal="center"/>
    </xf>
    <xf numFmtId="0" fontId="9" fillId="2" borderId="0" xfId="0" applyFont="1" applyFill="1" applyAlignment="1">
      <alignment horizontal="center"/>
    </xf>
    <xf numFmtId="0" fontId="9" fillId="0" borderId="0" xfId="0" applyFont="1" applyAlignment="1">
      <alignment horizontal="center"/>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zoomScaleNormal="100" workbookViewId="0">
      <selection activeCell="E7" sqref="E7"/>
    </sheetView>
  </sheetViews>
  <sheetFormatPr defaultColWidth="9.140625" defaultRowHeight="15.75" x14ac:dyDescent="0.25"/>
  <cols>
    <col min="1" max="16384" width="9.140625" style="1"/>
  </cols>
  <sheetData>
    <row r="1" spans="1:9" ht="18.75" x14ac:dyDescent="0.3">
      <c r="A1" s="118" t="s">
        <v>0</v>
      </c>
      <c r="B1" s="118"/>
      <c r="C1" s="118"/>
      <c r="D1" s="118"/>
      <c r="E1" s="118"/>
      <c r="F1" s="118"/>
      <c r="G1" s="118"/>
      <c r="H1" s="118"/>
      <c r="I1" s="118"/>
    </row>
    <row r="3" spans="1:9" ht="15.75" customHeight="1" x14ac:dyDescent="0.25">
      <c r="A3" s="117" t="s">
        <v>1</v>
      </c>
      <c r="B3" s="117"/>
      <c r="C3" s="117"/>
      <c r="D3" s="117"/>
      <c r="E3" s="117"/>
      <c r="F3" s="117"/>
      <c r="G3" s="117"/>
      <c r="H3" s="117"/>
      <c r="I3" s="117"/>
    </row>
    <row r="4" spans="1:9" x14ac:dyDescent="0.25">
      <c r="A4" s="117"/>
      <c r="B4" s="117"/>
      <c r="C4" s="117"/>
      <c r="D4" s="117"/>
      <c r="E4" s="117"/>
      <c r="F4" s="117"/>
      <c r="G4" s="117"/>
      <c r="H4" s="117"/>
      <c r="I4" s="117"/>
    </row>
    <row r="5" spans="1:9" x14ac:dyDescent="0.25">
      <c r="A5" s="117"/>
      <c r="B5" s="117"/>
      <c r="C5" s="117"/>
      <c r="D5" s="117"/>
      <c r="E5" s="117"/>
      <c r="F5" s="117"/>
      <c r="G5" s="117"/>
      <c r="H5" s="117"/>
      <c r="I5" s="117"/>
    </row>
    <row r="6" spans="1:9" x14ac:dyDescent="0.25">
      <c r="A6" s="107"/>
      <c r="B6" s="107"/>
      <c r="C6" s="107"/>
      <c r="D6" s="107"/>
      <c r="E6" s="107"/>
      <c r="F6" s="107"/>
      <c r="G6" s="107"/>
      <c r="H6" s="107"/>
      <c r="I6" s="107"/>
    </row>
    <row r="8" spans="1:9" ht="15.75" customHeight="1" x14ac:dyDescent="0.25">
      <c r="A8" s="117" t="s">
        <v>2</v>
      </c>
      <c r="B8" s="117"/>
      <c r="C8" s="117"/>
      <c r="D8" s="117"/>
      <c r="E8" s="117"/>
      <c r="F8" s="117"/>
      <c r="G8" s="117"/>
      <c r="H8" s="117"/>
      <c r="I8" s="117"/>
    </row>
    <row r="9" spans="1:9" x14ac:dyDescent="0.25">
      <c r="A9" s="117"/>
      <c r="B9" s="117"/>
      <c r="C9" s="117"/>
      <c r="D9" s="117"/>
      <c r="E9" s="117"/>
      <c r="F9" s="117"/>
      <c r="G9" s="117"/>
      <c r="H9" s="117"/>
      <c r="I9" s="117"/>
    </row>
    <row r="10" spans="1:9" x14ac:dyDescent="0.25">
      <c r="A10" s="117"/>
      <c r="B10" s="117"/>
      <c r="C10" s="117"/>
      <c r="D10" s="117"/>
      <c r="E10" s="117"/>
      <c r="F10" s="117"/>
      <c r="G10" s="117"/>
      <c r="H10" s="117"/>
      <c r="I10" s="117"/>
    </row>
    <row r="13" spans="1:9" x14ac:dyDescent="0.25">
      <c r="A13" s="117" t="s">
        <v>3</v>
      </c>
      <c r="B13" s="117"/>
      <c r="C13" s="117"/>
      <c r="D13" s="117"/>
      <c r="E13" s="117"/>
      <c r="F13" s="117"/>
      <c r="G13" s="117"/>
      <c r="H13" s="117"/>
      <c r="I13" s="117"/>
    </row>
    <row r="14" spans="1:9" x14ac:dyDescent="0.25">
      <c r="A14" s="117"/>
      <c r="B14" s="117"/>
      <c r="C14" s="117"/>
      <c r="D14" s="117"/>
      <c r="E14" s="117"/>
      <c r="F14" s="117"/>
      <c r="G14" s="117"/>
      <c r="H14" s="117"/>
      <c r="I14" s="117"/>
    </row>
    <row r="15" spans="1:9" x14ac:dyDescent="0.25">
      <c r="A15" s="117"/>
      <c r="B15" s="117"/>
      <c r="C15" s="117"/>
      <c r="D15" s="117"/>
      <c r="E15" s="117"/>
      <c r="F15" s="117"/>
      <c r="G15" s="117"/>
      <c r="H15" s="117"/>
      <c r="I15" s="117"/>
    </row>
    <row r="16" spans="1:9" x14ac:dyDescent="0.25">
      <c r="A16" s="117"/>
      <c r="B16" s="117"/>
      <c r="C16" s="117"/>
      <c r="D16" s="117"/>
      <c r="E16" s="117"/>
      <c r="F16" s="117"/>
      <c r="G16" s="117"/>
      <c r="H16" s="117"/>
      <c r="I16" s="117"/>
    </row>
    <row r="17" spans="1:9" x14ac:dyDescent="0.25">
      <c r="A17" s="117"/>
      <c r="B17" s="117"/>
      <c r="C17" s="117"/>
      <c r="D17" s="117"/>
      <c r="E17" s="117"/>
      <c r="F17" s="117"/>
      <c r="G17" s="117"/>
      <c r="H17" s="117"/>
      <c r="I17" s="117"/>
    </row>
    <row r="18" spans="1:9" x14ac:dyDescent="0.25">
      <c r="A18" s="107"/>
      <c r="B18" s="107"/>
      <c r="C18" s="107"/>
      <c r="D18" s="107"/>
      <c r="E18" s="107"/>
      <c r="F18" s="107"/>
      <c r="G18" s="107"/>
      <c r="H18" s="107"/>
      <c r="I18" s="107"/>
    </row>
    <row r="20" spans="1:9" ht="15.75" customHeight="1" x14ac:dyDescent="0.25">
      <c r="A20" s="117" t="s">
        <v>4</v>
      </c>
      <c r="B20" s="117"/>
      <c r="C20" s="117"/>
      <c r="D20" s="117"/>
      <c r="E20" s="117"/>
      <c r="F20" s="117"/>
      <c r="G20" s="117"/>
      <c r="H20" s="117"/>
      <c r="I20" s="117"/>
    </row>
    <row r="21" spans="1:9" x14ac:dyDescent="0.25">
      <c r="A21" s="117"/>
      <c r="B21" s="117"/>
      <c r="C21" s="117"/>
      <c r="D21" s="117"/>
      <c r="E21" s="117"/>
      <c r="F21" s="117"/>
      <c r="G21" s="117"/>
      <c r="H21" s="117"/>
      <c r="I21" s="117"/>
    </row>
    <row r="22" spans="1:9" x14ac:dyDescent="0.25">
      <c r="A22" s="117"/>
      <c r="B22" s="117"/>
      <c r="C22" s="117"/>
      <c r="D22" s="117"/>
      <c r="E22" s="117"/>
      <c r="F22" s="117"/>
      <c r="G22" s="117"/>
      <c r="H22" s="117"/>
      <c r="I22" s="117"/>
    </row>
    <row r="23" spans="1:9" x14ac:dyDescent="0.25">
      <c r="A23" s="117"/>
      <c r="B23" s="117"/>
      <c r="C23" s="117"/>
      <c r="D23" s="117"/>
      <c r="E23" s="117"/>
      <c r="F23" s="117"/>
      <c r="G23" s="117"/>
      <c r="H23" s="117"/>
      <c r="I23" s="117"/>
    </row>
    <row r="24" spans="1:9" x14ac:dyDescent="0.25">
      <c r="A24" s="107"/>
      <c r="B24" s="107"/>
      <c r="C24" s="107"/>
      <c r="D24" s="107"/>
      <c r="E24" s="107"/>
      <c r="F24" s="107"/>
      <c r="G24" s="107"/>
      <c r="H24" s="107"/>
      <c r="I24" s="107"/>
    </row>
    <row r="26" spans="1:9" ht="15.75" customHeight="1" x14ac:dyDescent="0.25">
      <c r="A26" s="117" t="s">
        <v>5</v>
      </c>
      <c r="B26" s="117"/>
      <c r="C26" s="117"/>
      <c r="D26" s="117"/>
      <c r="E26" s="117"/>
      <c r="F26" s="117"/>
      <c r="G26" s="117"/>
      <c r="H26" s="117"/>
      <c r="I26" s="117"/>
    </row>
    <row r="27" spans="1:9" x14ac:dyDescent="0.25">
      <c r="A27" s="117"/>
      <c r="B27" s="117"/>
      <c r="C27" s="117"/>
      <c r="D27" s="117"/>
      <c r="E27" s="117"/>
      <c r="F27" s="117"/>
      <c r="G27" s="117"/>
      <c r="H27" s="117"/>
      <c r="I27" s="117"/>
    </row>
    <row r="28" spans="1:9" x14ac:dyDescent="0.25">
      <c r="A28" s="117"/>
      <c r="B28" s="117"/>
      <c r="C28" s="117"/>
      <c r="D28" s="117"/>
      <c r="E28" s="117"/>
      <c r="F28" s="117"/>
      <c r="G28" s="117"/>
      <c r="H28" s="117"/>
      <c r="I28" s="117"/>
    </row>
    <row r="29" spans="1:9" x14ac:dyDescent="0.25">
      <c r="A29" s="117"/>
      <c r="B29" s="117"/>
      <c r="C29" s="117"/>
      <c r="D29" s="117"/>
      <c r="E29" s="117"/>
      <c r="F29" s="117"/>
      <c r="G29" s="117"/>
      <c r="H29" s="117"/>
      <c r="I29" s="117"/>
    </row>
    <row r="30" spans="1:9" x14ac:dyDescent="0.25">
      <c r="A30" s="117"/>
      <c r="B30" s="117"/>
      <c r="C30" s="117"/>
      <c r="D30" s="117"/>
      <c r="E30" s="117"/>
      <c r="F30" s="117"/>
      <c r="G30" s="117"/>
      <c r="H30" s="117"/>
      <c r="I30" s="117"/>
    </row>
    <row r="31" spans="1:9" x14ac:dyDescent="0.25">
      <c r="A31" s="117"/>
      <c r="B31" s="117"/>
      <c r="C31" s="117"/>
      <c r="D31" s="117"/>
      <c r="E31" s="117"/>
      <c r="F31" s="117"/>
      <c r="G31" s="117"/>
      <c r="H31" s="117"/>
      <c r="I31" s="117"/>
    </row>
    <row r="32" spans="1:9" x14ac:dyDescent="0.25">
      <c r="A32" s="117"/>
      <c r="B32" s="117"/>
      <c r="C32" s="117"/>
      <c r="D32" s="117"/>
      <c r="E32" s="117"/>
      <c r="F32" s="117"/>
      <c r="G32" s="117"/>
      <c r="H32" s="117"/>
      <c r="I32" s="117"/>
    </row>
    <row r="33" spans="1:9" x14ac:dyDescent="0.25">
      <c r="A33" s="108"/>
      <c r="B33" s="108"/>
      <c r="C33" s="108"/>
      <c r="D33" s="108"/>
      <c r="E33" s="108"/>
      <c r="F33" s="108"/>
      <c r="G33" s="108"/>
      <c r="H33" s="108"/>
      <c r="I33" s="108"/>
    </row>
    <row r="35" spans="1:9" x14ac:dyDescent="0.25">
      <c r="A35" s="117" t="s">
        <v>6</v>
      </c>
      <c r="B35" s="117"/>
      <c r="C35" s="117"/>
      <c r="D35" s="117"/>
      <c r="E35" s="117"/>
      <c r="F35" s="117"/>
      <c r="G35" s="117"/>
      <c r="H35" s="117"/>
      <c r="I35" s="117"/>
    </row>
    <row r="36" spans="1:9" x14ac:dyDescent="0.25">
      <c r="A36" s="117"/>
      <c r="B36" s="117"/>
      <c r="C36" s="117"/>
      <c r="D36" s="117"/>
      <c r="E36" s="117"/>
      <c r="F36" s="117"/>
      <c r="G36" s="117"/>
      <c r="H36" s="117"/>
      <c r="I36" s="117"/>
    </row>
  </sheetData>
  <mergeCells count="7">
    <mergeCell ref="A35:I36"/>
    <mergeCell ref="A26:I32"/>
    <mergeCell ref="A20:I23"/>
    <mergeCell ref="A8:I10"/>
    <mergeCell ref="A1:I1"/>
    <mergeCell ref="A13:I17"/>
    <mergeCell ref="A3:I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49"/>
  <sheetViews>
    <sheetView tabSelected="1" zoomScale="110" zoomScaleNormal="110" workbookViewId="0">
      <selection activeCell="D16" sqref="D16"/>
    </sheetView>
  </sheetViews>
  <sheetFormatPr defaultColWidth="9.140625" defaultRowHeight="15.75" x14ac:dyDescent="0.25"/>
  <cols>
    <col min="1" max="1" width="33.85546875" style="1" bestFit="1" customWidth="1"/>
    <col min="2" max="2" width="17.7109375" style="1" customWidth="1"/>
    <col min="3" max="3" width="11.5703125" style="1" customWidth="1"/>
    <col min="4" max="4" width="16.7109375" style="1" bestFit="1" customWidth="1"/>
    <col min="5" max="5" width="11.5703125" style="1" customWidth="1"/>
    <col min="6" max="9" width="14.140625" style="1" bestFit="1" customWidth="1"/>
    <col min="10" max="13" width="11.5703125" style="1" customWidth="1"/>
    <col min="14" max="14" width="11.5703125" style="1" bestFit="1" customWidth="1"/>
    <col min="15" max="16" width="12.7109375" style="1" bestFit="1" customWidth="1"/>
    <col min="17" max="18" width="14.5703125" style="1" bestFit="1" customWidth="1"/>
    <col min="19" max="16384" width="9.140625" style="1"/>
  </cols>
  <sheetData>
    <row r="1" spans="1:14" x14ac:dyDescent="0.25">
      <c r="A1" s="11" t="s">
        <v>7</v>
      </c>
    </row>
    <row r="2" spans="1:14" ht="18.75" x14ac:dyDescent="0.3">
      <c r="A2" s="119" t="s">
        <v>8</v>
      </c>
      <c r="B2" s="119"/>
      <c r="C2" s="119"/>
      <c r="D2" s="119"/>
      <c r="E2" s="119"/>
      <c r="F2" s="119"/>
      <c r="G2" s="119"/>
      <c r="H2" s="119"/>
      <c r="I2" s="119"/>
      <c r="J2" s="119"/>
      <c r="K2" s="119"/>
      <c r="L2" s="119"/>
      <c r="M2" s="119"/>
      <c r="N2" s="119"/>
    </row>
    <row r="3" spans="1:14" x14ac:dyDescent="0.25">
      <c r="B3" s="120" t="s">
        <v>9</v>
      </c>
      <c r="C3" s="120"/>
      <c r="D3" s="120"/>
      <c r="E3" s="120"/>
      <c r="F3" s="120"/>
      <c r="G3" s="120"/>
      <c r="H3" s="120"/>
      <c r="I3" s="120"/>
      <c r="J3" s="120"/>
      <c r="K3" s="120"/>
      <c r="L3" s="120"/>
      <c r="M3" s="120"/>
      <c r="N3" s="120"/>
    </row>
    <row r="4" spans="1:14" s="115" customFormat="1" ht="16.5" thickBot="1" x14ac:dyDescent="0.3">
      <c r="B4" s="116" t="s">
        <v>10</v>
      </c>
      <c r="C4" s="116" t="s">
        <v>11</v>
      </c>
      <c r="D4" s="116" t="s">
        <v>12</v>
      </c>
      <c r="E4" s="116" t="s">
        <v>13</v>
      </c>
      <c r="F4" s="116" t="s">
        <v>14</v>
      </c>
      <c r="G4" s="116" t="s">
        <v>15</v>
      </c>
      <c r="H4" s="116" t="s">
        <v>16</v>
      </c>
      <c r="I4" s="116" t="s">
        <v>17</v>
      </c>
      <c r="J4" s="116" t="s">
        <v>18</v>
      </c>
      <c r="K4" s="116" t="s">
        <v>19</v>
      </c>
      <c r="L4" s="116" t="s">
        <v>20</v>
      </c>
      <c r="M4" s="116" t="s">
        <v>21</v>
      </c>
      <c r="N4" s="116" t="s">
        <v>22</v>
      </c>
    </row>
    <row r="5" spans="1:14" ht="16.5" thickBot="1" x14ac:dyDescent="0.3">
      <c r="A5" s="1" t="s">
        <v>23</v>
      </c>
      <c r="B5" s="17">
        <v>20</v>
      </c>
      <c r="C5" s="17">
        <v>20</v>
      </c>
      <c r="D5" s="17">
        <v>20</v>
      </c>
      <c r="E5" s="17">
        <v>20</v>
      </c>
      <c r="F5" s="17">
        <v>20</v>
      </c>
      <c r="G5" s="17">
        <v>20</v>
      </c>
      <c r="H5" s="17">
        <v>20</v>
      </c>
      <c r="I5" s="17">
        <v>20</v>
      </c>
      <c r="J5" s="17">
        <v>20</v>
      </c>
      <c r="K5" s="17">
        <v>20</v>
      </c>
      <c r="L5" s="17">
        <v>20</v>
      </c>
      <c r="M5" s="17">
        <v>20</v>
      </c>
      <c r="N5" s="16"/>
    </row>
    <row r="6" spans="1:14" ht="16.5" thickBot="1" x14ac:dyDescent="0.3">
      <c r="A6" s="1" t="s">
        <v>24</v>
      </c>
      <c r="B6" s="5">
        <v>0</v>
      </c>
      <c r="C6" s="5">
        <v>0</v>
      </c>
      <c r="D6" s="5">
        <v>0</v>
      </c>
      <c r="E6" s="5">
        <v>0</v>
      </c>
      <c r="F6" s="5">
        <v>0</v>
      </c>
      <c r="G6" s="5">
        <v>0</v>
      </c>
      <c r="H6" s="5">
        <v>100</v>
      </c>
      <c r="I6" s="5">
        <v>150</v>
      </c>
      <c r="J6" s="5">
        <v>250</v>
      </c>
      <c r="K6" s="5">
        <v>300</v>
      </c>
      <c r="L6" s="5">
        <v>400</v>
      </c>
      <c r="M6" s="5">
        <v>500</v>
      </c>
      <c r="N6" s="6">
        <f>SUM(B6:M6)</f>
        <v>1700</v>
      </c>
    </row>
    <row r="7" spans="1:14" x14ac:dyDescent="0.25">
      <c r="B7" s="13"/>
      <c r="C7" s="13"/>
      <c r="D7" s="13"/>
      <c r="E7" s="13"/>
      <c r="F7" s="13"/>
      <c r="G7" s="13"/>
      <c r="H7" s="13"/>
      <c r="I7" s="13"/>
      <c r="J7" s="13"/>
      <c r="K7" s="13"/>
      <c r="L7" s="13"/>
      <c r="M7" s="13"/>
      <c r="N7" s="13"/>
    </row>
    <row r="8" spans="1:14" x14ac:dyDescent="0.25">
      <c r="B8" s="120" t="s">
        <v>25</v>
      </c>
      <c r="C8" s="120"/>
      <c r="D8" s="120"/>
      <c r="E8" s="120"/>
      <c r="F8" s="120"/>
      <c r="G8" s="120"/>
      <c r="H8" s="120"/>
      <c r="I8" s="120"/>
      <c r="J8" s="120"/>
      <c r="K8" s="120"/>
      <c r="L8" s="120"/>
      <c r="M8" s="120"/>
      <c r="N8" s="120"/>
    </row>
    <row r="9" spans="1:14" ht="16.5" thickBot="1" x14ac:dyDescent="0.3">
      <c r="B9" s="4" t="s">
        <v>10</v>
      </c>
      <c r="C9" s="4" t="s">
        <v>11</v>
      </c>
      <c r="D9" s="4" t="s">
        <v>12</v>
      </c>
      <c r="E9" s="4" t="s">
        <v>13</v>
      </c>
      <c r="F9" s="4" t="s">
        <v>14</v>
      </c>
      <c r="G9" s="4" t="s">
        <v>15</v>
      </c>
      <c r="H9" s="4" t="s">
        <v>16</v>
      </c>
      <c r="I9" s="4" t="s">
        <v>17</v>
      </c>
      <c r="J9" s="4" t="s">
        <v>18</v>
      </c>
      <c r="K9" s="4" t="s">
        <v>19</v>
      </c>
      <c r="L9" s="4" t="s">
        <v>20</v>
      </c>
      <c r="M9" s="4" t="s">
        <v>21</v>
      </c>
      <c r="N9" s="4" t="s">
        <v>22</v>
      </c>
    </row>
    <row r="10" spans="1:14" ht="16.5" thickBot="1" x14ac:dyDescent="0.3">
      <c r="A10" s="1" t="s">
        <v>23</v>
      </c>
      <c r="B10" s="17">
        <v>20</v>
      </c>
      <c r="C10" s="17">
        <v>20</v>
      </c>
      <c r="D10" s="17">
        <v>20</v>
      </c>
      <c r="E10" s="17">
        <v>20</v>
      </c>
      <c r="F10" s="17">
        <v>20</v>
      </c>
      <c r="G10" s="17">
        <v>20</v>
      </c>
      <c r="H10" s="17">
        <v>20</v>
      </c>
      <c r="I10" s="17">
        <v>20</v>
      </c>
      <c r="J10" s="17">
        <v>20</v>
      </c>
      <c r="K10" s="17">
        <v>20</v>
      </c>
      <c r="L10" s="17">
        <v>20</v>
      </c>
      <c r="M10" s="17">
        <v>20</v>
      </c>
      <c r="N10" s="16"/>
    </row>
    <row r="11" spans="1:14" ht="16.5" thickBot="1" x14ac:dyDescent="0.3">
      <c r="A11" s="1" t="s">
        <v>24</v>
      </c>
      <c r="B11" s="6">
        <f>ROUND(M6*(1+D29),0)</f>
        <v>563</v>
      </c>
      <c r="C11" s="6">
        <f>ROUND(B11*(1+$D$29),0)</f>
        <v>633</v>
      </c>
      <c r="D11" s="6">
        <f t="shared" ref="D11:M11" si="0">ROUND(C11*(1+$D$29),0)</f>
        <v>712</v>
      </c>
      <c r="E11" s="6">
        <f t="shared" si="0"/>
        <v>801</v>
      </c>
      <c r="F11" s="6">
        <f t="shared" si="0"/>
        <v>901</v>
      </c>
      <c r="G11" s="6">
        <f t="shared" ref="G11" si="1">ROUND(F11*(1+$D$29),0)</f>
        <v>1014</v>
      </c>
      <c r="H11" s="6">
        <f t="shared" ref="H11" si="2">ROUND(G11*(1+$D$29),0)</f>
        <v>1141</v>
      </c>
      <c r="I11" s="6">
        <f t="shared" ref="I11" si="3">ROUND(H11*(1+$D$29),0)</f>
        <v>1284</v>
      </c>
      <c r="J11" s="6">
        <f t="shared" si="0"/>
        <v>1445</v>
      </c>
      <c r="K11" s="6">
        <f t="shared" si="0"/>
        <v>1626</v>
      </c>
      <c r="L11" s="6">
        <f t="shared" si="0"/>
        <v>1829</v>
      </c>
      <c r="M11" s="6">
        <f t="shared" si="0"/>
        <v>2058</v>
      </c>
      <c r="N11" s="6">
        <f>SUM(B11:M11)</f>
        <v>14007</v>
      </c>
    </row>
    <row r="12" spans="1:14" x14ac:dyDescent="0.25">
      <c r="B12" s="13"/>
      <c r="C12" s="13"/>
      <c r="D12" s="13"/>
      <c r="E12" s="13"/>
      <c r="F12" s="13"/>
      <c r="G12" s="13"/>
      <c r="H12" s="13"/>
      <c r="I12" s="13"/>
      <c r="J12" s="13"/>
      <c r="K12" s="13"/>
      <c r="L12" s="13"/>
      <c r="M12" s="13"/>
      <c r="N12" s="13"/>
    </row>
    <row r="13" spans="1:14" x14ac:dyDescent="0.25">
      <c r="B13" s="120" t="s">
        <v>26</v>
      </c>
      <c r="C13" s="120"/>
      <c r="D13" s="120"/>
      <c r="E13" s="120"/>
      <c r="F13" s="120"/>
      <c r="G13" s="120"/>
      <c r="H13" s="120"/>
      <c r="I13" s="120"/>
      <c r="J13" s="120"/>
      <c r="K13" s="120"/>
      <c r="L13" s="120"/>
      <c r="M13" s="120"/>
      <c r="N13" s="120"/>
    </row>
    <row r="14" spans="1:14" ht="16.5" thickBot="1" x14ac:dyDescent="0.3">
      <c r="B14" s="4"/>
      <c r="C14" s="4"/>
      <c r="D14" s="4" t="s">
        <v>27</v>
      </c>
      <c r="E14" s="4"/>
      <c r="F14" s="4"/>
      <c r="G14" s="4" t="s">
        <v>28</v>
      </c>
      <c r="H14" s="4"/>
      <c r="I14" s="4"/>
      <c r="J14" s="4" t="s">
        <v>29</v>
      </c>
      <c r="K14" s="4"/>
      <c r="L14" s="4"/>
      <c r="M14" s="4" t="s">
        <v>30</v>
      </c>
      <c r="N14" s="4" t="s">
        <v>22</v>
      </c>
    </row>
    <row r="15" spans="1:14" ht="16.5" thickBot="1" x14ac:dyDescent="0.3">
      <c r="A15" s="1" t="s">
        <v>23</v>
      </c>
      <c r="B15" s="23"/>
      <c r="C15" s="23"/>
      <c r="D15" s="17">
        <v>22</v>
      </c>
      <c r="E15" s="23"/>
      <c r="F15" s="23"/>
      <c r="G15" s="17">
        <v>22</v>
      </c>
      <c r="H15" s="23"/>
      <c r="I15" s="23"/>
      <c r="J15" s="17">
        <v>22</v>
      </c>
      <c r="K15" s="23"/>
      <c r="L15" s="23"/>
      <c r="M15" s="17">
        <v>22</v>
      </c>
      <c r="N15" s="37"/>
    </row>
    <row r="16" spans="1:14" ht="16.5" thickBot="1" x14ac:dyDescent="0.3">
      <c r="A16" s="1" t="s">
        <v>24</v>
      </c>
      <c r="B16" s="13"/>
      <c r="C16" s="13"/>
      <c r="D16" s="6">
        <f>ROUND((K11+L11+M11)*(1+D30),0)</f>
        <v>6891</v>
      </c>
      <c r="E16" s="13"/>
      <c r="F16" s="13"/>
      <c r="G16" s="6">
        <f>ROUND(D16*(1+D30),0)</f>
        <v>8614</v>
      </c>
      <c r="H16" s="13"/>
      <c r="I16" s="13"/>
      <c r="J16" s="6">
        <f>ROUND(G16*(1+D30),0)</f>
        <v>10768</v>
      </c>
      <c r="K16" s="13"/>
      <c r="L16" s="13"/>
      <c r="M16" s="6">
        <f>ROUND(J16*(1+D30),0)</f>
        <v>13460</v>
      </c>
      <c r="N16" s="6">
        <f>SUM(B16:M16)</f>
        <v>39733</v>
      </c>
    </row>
    <row r="17" spans="1:14" x14ac:dyDescent="0.25">
      <c r="B17" s="13"/>
      <c r="C17" s="13"/>
      <c r="D17" s="13"/>
      <c r="E17" s="13"/>
      <c r="F17" s="13"/>
      <c r="G17" s="13"/>
      <c r="H17" s="13"/>
      <c r="I17" s="13"/>
      <c r="J17" s="13"/>
      <c r="K17" s="13"/>
      <c r="L17" s="13"/>
      <c r="M17" s="13"/>
      <c r="N17" s="13"/>
    </row>
    <row r="18" spans="1:14" x14ac:dyDescent="0.25">
      <c r="B18" s="120" t="s">
        <v>31</v>
      </c>
      <c r="C18" s="120"/>
      <c r="D18" s="120"/>
      <c r="E18" s="120"/>
      <c r="F18" s="120"/>
      <c r="G18" s="120"/>
      <c r="H18" s="120"/>
      <c r="I18" s="120"/>
      <c r="J18" s="120"/>
      <c r="K18" s="120"/>
      <c r="L18" s="120"/>
      <c r="M18" s="120"/>
      <c r="N18" s="120"/>
    </row>
    <row r="19" spans="1:14" ht="16.5" thickBot="1" x14ac:dyDescent="0.3">
      <c r="B19" s="4"/>
      <c r="C19" s="4"/>
      <c r="D19" s="4" t="s">
        <v>27</v>
      </c>
      <c r="E19" s="4"/>
      <c r="F19" s="4"/>
      <c r="G19" s="4" t="s">
        <v>28</v>
      </c>
      <c r="H19" s="4"/>
      <c r="I19" s="4"/>
      <c r="J19" s="4" t="s">
        <v>29</v>
      </c>
      <c r="K19" s="4"/>
      <c r="L19" s="4"/>
      <c r="M19" s="4" t="s">
        <v>30</v>
      </c>
      <c r="N19" s="4" t="s">
        <v>22</v>
      </c>
    </row>
    <row r="20" spans="1:14" ht="16.5" thickBot="1" x14ac:dyDescent="0.3">
      <c r="A20" s="1" t="s">
        <v>23</v>
      </c>
      <c r="B20" s="23"/>
      <c r="C20" s="23"/>
      <c r="D20" s="17">
        <v>24</v>
      </c>
      <c r="E20" s="23"/>
      <c r="F20" s="23"/>
      <c r="G20" s="17">
        <v>24</v>
      </c>
      <c r="H20" s="23"/>
      <c r="I20" s="23"/>
      <c r="J20" s="17">
        <v>24</v>
      </c>
      <c r="K20" s="23"/>
      <c r="L20" s="23"/>
      <c r="M20" s="17">
        <v>24</v>
      </c>
      <c r="N20" s="37"/>
    </row>
    <row r="21" spans="1:14" ht="16.5" thickBot="1" x14ac:dyDescent="0.3">
      <c r="A21" s="1" t="s">
        <v>24</v>
      </c>
      <c r="B21" s="13"/>
      <c r="C21" s="13"/>
      <c r="D21" s="6">
        <f>ROUND((M16)*(1+D31),0)</f>
        <v>15479</v>
      </c>
      <c r="E21" s="13"/>
      <c r="F21" s="13"/>
      <c r="G21" s="6">
        <f>ROUND(D21*(1+D31),0)</f>
        <v>17801</v>
      </c>
      <c r="H21" s="13"/>
      <c r="I21" s="13"/>
      <c r="J21" s="6">
        <f>ROUND(G21*(1+D31),0)</f>
        <v>20471</v>
      </c>
      <c r="K21" s="13"/>
      <c r="L21" s="13"/>
      <c r="M21" s="6">
        <f>ROUND(J21*(1+D31),0)</f>
        <v>23542</v>
      </c>
      <c r="N21" s="6">
        <f>SUM(B21:M21)</f>
        <v>77293</v>
      </c>
    </row>
    <row r="22" spans="1:14" x14ac:dyDescent="0.25">
      <c r="B22" s="13"/>
      <c r="C22" s="13"/>
      <c r="D22" s="13"/>
      <c r="E22" s="13"/>
      <c r="F22" s="13"/>
      <c r="G22" s="13"/>
      <c r="H22" s="13"/>
      <c r="I22" s="13"/>
      <c r="J22" s="13"/>
      <c r="K22" s="13"/>
      <c r="L22" s="13"/>
      <c r="M22" s="13"/>
      <c r="N22" s="13"/>
    </row>
    <row r="23" spans="1:14" x14ac:dyDescent="0.25">
      <c r="B23" s="120" t="s">
        <v>32</v>
      </c>
      <c r="C23" s="120"/>
      <c r="D23" s="120"/>
      <c r="E23" s="120"/>
      <c r="F23" s="120"/>
      <c r="G23" s="120"/>
      <c r="H23" s="120"/>
      <c r="I23" s="120"/>
      <c r="J23" s="120"/>
      <c r="K23" s="120"/>
      <c r="L23" s="120"/>
      <c r="M23" s="120"/>
      <c r="N23" s="120"/>
    </row>
    <row r="24" spans="1:14" ht="16.5" thickBot="1" x14ac:dyDescent="0.3">
      <c r="B24" s="4"/>
      <c r="C24" s="4"/>
      <c r="D24" s="4"/>
      <c r="E24" s="4"/>
      <c r="F24" s="4"/>
      <c r="G24" s="4"/>
      <c r="H24" s="4"/>
      <c r="I24" s="4"/>
      <c r="J24" s="4"/>
      <c r="K24" s="4"/>
      <c r="L24" s="4"/>
      <c r="M24" s="4"/>
      <c r="N24" s="4" t="s">
        <v>22</v>
      </c>
    </row>
    <row r="25" spans="1:14" ht="16.5" thickBot="1" x14ac:dyDescent="0.3">
      <c r="A25" s="1" t="s">
        <v>23</v>
      </c>
      <c r="B25" s="23"/>
      <c r="C25" s="23"/>
      <c r="D25" s="23"/>
      <c r="E25" s="23"/>
      <c r="F25" s="23"/>
      <c r="G25" s="23"/>
      <c r="H25" s="23"/>
      <c r="I25" s="23"/>
      <c r="J25" s="23"/>
      <c r="K25" s="23"/>
      <c r="L25" s="23"/>
      <c r="M25" s="17">
        <v>25</v>
      </c>
      <c r="N25" s="37"/>
    </row>
    <row r="26" spans="1:14" ht="16.5" thickBot="1" x14ac:dyDescent="0.3">
      <c r="A26" s="1" t="s">
        <v>24</v>
      </c>
      <c r="B26" s="13"/>
      <c r="C26" s="13"/>
      <c r="D26" s="13"/>
      <c r="E26" s="13"/>
      <c r="F26" s="13"/>
      <c r="G26" s="13"/>
      <c r="H26" s="13"/>
      <c r="I26" s="13"/>
      <c r="J26" s="13"/>
      <c r="K26" s="13"/>
      <c r="L26" s="13"/>
      <c r="M26" s="13"/>
      <c r="N26" s="6">
        <f>ROUND(N21*(1+D32),0)</f>
        <v>100481</v>
      </c>
    </row>
    <row r="28" spans="1:14" ht="16.5" thickBot="1" x14ac:dyDescent="0.3">
      <c r="B28" s="12" t="s">
        <v>33</v>
      </c>
      <c r="D28" s="12" t="s">
        <v>34</v>
      </c>
    </row>
    <row r="29" spans="1:14" ht="16.5" thickBot="1" x14ac:dyDescent="0.3">
      <c r="A29" s="1" t="s">
        <v>35</v>
      </c>
      <c r="B29" s="8">
        <v>1.5</v>
      </c>
      <c r="D29" s="7">
        <f t="shared" ref="D29" si="4">B29/12</f>
        <v>0.125</v>
      </c>
    </row>
    <row r="30" spans="1:14" ht="16.5" thickBot="1" x14ac:dyDescent="0.3">
      <c r="A30" s="1" t="s">
        <v>36</v>
      </c>
      <c r="B30" s="8">
        <v>1</v>
      </c>
      <c r="D30" s="7">
        <f>B30/4</f>
        <v>0.25</v>
      </c>
    </row>
    <row r="31" spans="1:14" ht="16.5" thickBot="1" x14ac:dyDescent="0.3">
      <c r="A31" s="1" t="s">
        <v>37</v>
      </c>
      <c r="B31" s="8">
        <v>0.6</v>
      </c>
      <c r="D31" s="7">
        <f>B31/4</f>
        <v>0.15</v>
      </c>
    </row>
    <row r="32" spans="1:14" ht="16.5" thickBot="1" x14ac:dyDescent="0.3">
      <c r="A32" s="1" t="s">
        <v>38</v>
      </c>
      <c r="B32" s="8">
        <v>0.3</v>
      </c>
      <c r="D32" s="7">
        <f>B32</f>
        <v>0.3</v>
      </c>
    </row>
    <row r="33" spans="1:14" x14ac:dyDescent="0.25">
      <c r="B33" s="9"/>
      <c r="D33" s="10"/>
    </row>
    <row r="34" spans="1:14" ht="18.75" x14ac:dyDescent="0.3">
      <c r="A34" s="119" t="s">
        <v>39</v>
      </c>
      <c r="B34" s="119"/>
      <c r="C34" s="119"/>
      <c r="D34" s="119"/>
      <c r="E34" s="119"/>
      <c r="F34" s="119"/>
      <c r="G34" s="119"/>
      <c r="H34" s="119"/>
      <c r="I34" s="119"/>
      <c r="J34" s="119"/>
      <c r="K34" s="119"/>
      <c r="L34" s="119"/>
      <c r="M34" s="119"/>
      <c r="N34" s="119"/>
    </row>
    <row r="35" spans="1:14" x14ac:dyDescent="0.25">
      <c r="B35" s="120" t="s">
        <v>9</v>
      </c>
      <c r="C35" s="120"/>
      <c r="D35" s="120"/>
      <c r="E35" s="120"/>
      <c r="F35" s="120"/>
      <c r="G35" s="120"/>
      <c r="H35" s="120"/>
      <c r="I35" s="120"/>
      <c r="J35" s="120"/>
      <c r="K35" s="120"/>
      <c r="L35" s="120"/>
      <c r="M35" s="120"/>
      <c r="N35" s="120"/>
    </row>
    <row r="36" spans="1:14" ht="16.5" thickBot="1" x14ac:dyDescent="0.3">
      <c r="B36" s="4" t="s">
        <v>10</v>
      </c>
      <c r="C36" s="4" t="s">
        <v>11</v>
      </c>
      <c r="D36" s="4" t="s">
        <v>12</v>
      </c>
      <c r="E36" s="4" t="s">
        <v>13</v>
      </c>
      <c r="F36" s="4" t="s">
        <v>14</v>
      </c>
      <c r="G36" s="4" t="s">
        <v>15</v>
      </c>
      <c r="H36" s="4" t="s">
        <v>16</v>
      </c>
      <c r="I36" s="4" t="s">
        <v>17</v>
      </c>
      <c r="J36" s="4" t="s">
        <v>18</v>
      </c>
      <c r="K36" s="4" t="s">
        <v>19</v>
      </c>
      <c r="L36" s="4" t="s">
        <v>20</v>
      </c>
      <c r="M36" s="4" t="s">
        <v>21</v>
      </c>
      <c r="N36" s="4" t="s">
        <v>22</v>
      </c>
    </row>
    <row r="37" spans="1:14" ht="16.5" thickBot="1" x14ac:dyDescent="0.3">
      <c r="A37" s="1" t="s">
        <v>23</v>
      </c>
      <c r="B37" s="17">
        <v>10</v>
      </c>
      <c r="C37" s="17">
        <v>10</v>
      </c>
      <c r="D37" s="17">
        <v>10</v>
      </c>
      <c r="E37" s="17">
        <v>10</v>
      </c>
      <c r="F37" s="17">
        <v>10</v>
      </c>
      <c r="G37" s="17">
        <v>10</v>
      </c>
      <c r="H37" s="17">
        <v>10</v>
      </c>
      <c r="I37" s="17">
        <v>10</v>
      </c>
      <c r="J37" s="17">
        <v>10</v>
      </c>
      <c r="K37" s="17">
        <v>10</v>
      </c>
      <c r="L37" s="17">
        <v>10</v>
      </c>
      <c r="M37" s="17">
        <v>10</v>
      </c>
      <c r="N37" s="16"/>
    </row>
    <row r="38" spans="1:14" ht="16.5" thickBot="1" x14ac:dyDescent="0.3">
      <c r="A38" s="1" t="s">
        <v>24</v>
      </c>
      <c r="B38" s="5">
        <v>0</v>
      </c>
      <c r="C38" s="5">
        <v>0</v>
      </c>
      <c r="D38" s="5">
        <v>0</v>
      </c>
      <c r="E38" s="5">
        <v>0</v>
      </c>
      <c r="F38" s="5">
        <v>0</v>
      </c>
      <c r="G38" s="5">
        <v>0</v>
      </c>
      <c r="H38" s="5">
        <v>2000</v>
      </c>
      <c r="I38" s="5">
        <v>2000</v>
      </c>
      <c r="J38" s="5">
        <v>2500</v>
      </c>
      <c r="K38" s="5">
        <v>3000</v>
      </c>
      <c r="L38" s="5">
        <v>3000</v>
      </c>
      <c r="M38" s="5">
        <v>3500</v>
      </c>
      <c r="N38" s="6">
        <f>SUM(B38:M38)</f>
        <v>16000</v>
      </c>
    </row>
    <row r="39" spans="1:14" ht="15" customHeight="1" x14ac:dyDescent="0.25">
      <c r="B39" s="13"/>
      <c r="C39" s="13"/>
      <c r="D39" s="13"/>
      <c r="E39" s="13"/>
      <c r="F39" s="13"/>
      <c r="G39" s="13"/>
      <c r="H39" s="13"/>
      <c r="I39" s="13"/>
      <c r="J39" s="13"/>
      <c r="K39" s="13"/>
      <c r="L39" s="13"/>
      <c r="M39" s="13"/>
      <c r="N39" s="13"/>
    </row>
    <row r="40" spans="1:14" x14ac:dyDescent="0.25">
      <c r="B40" s="120" t="s">
        <v>25</v>
      </c>
      <c r="C40" s="120"/>
      <c r="D40" s="120"/>
      <c r="E40" s="120"/>
      <c r="F40" s="120"/>
      <c r="G40" s="120"/>
      <c r="H40" s="120"/>
      <c r="I40" s="120"/>
      <c r="J40" s="120"/>
      <c r="K40" s="120"/>
      <c r="L40" s="120"/>
      <c r="M40" s="120"/>
      <c r="N40" s="120"/>
    </row>
    <row r="41" spans="1:14" ht="16.5" thickBot="1" x14ac:dyDescent="0.3">
      <c r="B41" s="4" t="s">
        <v>10</v>
      </c>
      <c r="C41" s="4" t="s">
        <v>11</v>
      </c>
      <c r="D41" s="4" t="s">
        <v>12</v>
      </c>
      <c r="E41" s="4" t="s">
        <v>13</v>
      </c>
      <c r="F41" s="4" t="s">
        <v>14</v>
      </c>
      <c r="G41" s="4" t="s">
        <v>15</v>
      </c>
      <c r="H41" s="4" t="s">
        <v>16</v>
      </c>
      <c r="I41" s="4" t="s">
        <v>17</v>
      </c>
      <c r="J41" s="4" t="s">
        <v>18</v>
      </c>
      <c r="K41" s="4" t="s">
        <v>19</v>
      </c>
      <c r="L41" s="4" t="s">
        <v>20</v>
      </c>
      <c r="M41" s="4" t="s">
        <v>21</v>
      </c>
      <c r="N41" s="4" t="s">
        <v>22</v>
      </c>
    </row>
    <row r="42" spans="1:14" ht="16.5" thickBot="1" x14ac:dyDescent="0.3">
      <c r="A42" s="1" t="s">
        <v>23</v>
      </c>
      <c r="B42" s="17">
        <v>10</v>
      </c>
      <c r="C42" s="17">
        <v>10</v>
      </c>
      <c r="D42" s="17">
        <v>10</v>
      </c>
      <c r="E42" s="17">
        <v>10</v>
      </c>
      <c r="F42" s="17">
        <v>10</v>
      </c>
      <c r="G42" s="17">
        <v>10</v>
      </c>
      <c r="H42" s="17">
        <v>10</v>
      </c>
      <c r="I42" s="17">
        <v>10</v>
      </c>
      <c r="J42" s="17">
        <v>10</v>
      </c>
      <c r="K42" s="17">
        <v>10</v>
      </c>
      <c r="L42" s="17">
        <v>10</v>
      </c>
      <c r="M42" s="17">
        <v>10</v>
      </c>
      <c r="N42" s="16"/>
    </row>
    <row r="43" spans="1:14" ht="16.5" thickBot="1" x14ac:dyDescent="0.3">
      <c r="A43" s="1" t="s">
        <v>24</v>
      </c>
      <c r="B43" s="6">
        <f>ROUND(M38*(1+D61),0)</f>
        <v>3938</v>
      </c>
      <c r="C43" s="6">
        <f>ROUND(B43*(1+$D$29),0)</f>
        <v>4430</v>
      </c>
      <c r="D43" s="6">
        <f t="shared" ref="D43:M43" si="5">ROUND(C43*(1+$D$29),0)</f>
        <v>4984</v>
      </c>
      <c r="E43" s="6">
        <f t="shared" si="5"/>
        <v>5607</v>
      </c>
      <c r="F43" s="6">
        <f t="shared" si="5"/>
        <v>6308</v>
      </c>
      <c r="G43" s="6">
        <f t="shared" si="5"/>
        <v>7097</v>
      </c>
      <c r="H43" s="6">
        <f t="shared" si="5"/>
        <v>7984</v>
      </c>
      <c r="I43" s="6">
        <f t="shared" si="5"/>
        <v>8982</v>
      </c>
      <c r="J43" s="6">
        <f t="shared" si="5"/>
        <v>10105</v>
      </c>
      <c r="K43" s="6">
        <f t="shared" si="5"/>
        <v>11368</v>
      </c>
      <c r="L43" s="6">
        <f t="shared" si="5"/>
        <v>12789</v>
      </c>
      <c r="M43" s="6">
        <f t="shared" si="5"/>
        <v>14388</v>
      </c>
      <c r="N43" s="6">
        <f>SUM(B43:M43)</f>
        <v>97980</v>
      </c>
    </row>
    <row r="44" spans="1:14" x14ac:dyDescent="0.25">
      <c r="B44" s="13"/>
      <c r="C44" s="13"/>
      <c r="D44" s="13"/>
      <c r="E44" s="13"/>
      <c r="F44" s="13"/>
      <c r="G44" s="13"/>
      <c r="H44" s="13"/>
      <c r="I44" s="13"/>
      <c r="J44" s="13"/>
      <c r="K44" s="13"/>
      <c r="L44" s="13"/>
      <c r="M44" s="13"/>
      <c r="N44" s="13"/>
    </row>
    <row r="45" spans="1:14" x14ac:dyDescent="0.25">
      <c r="B45" s="120" t="s">
        <v>26</v>
      </c>
      <c r="C45" s="120"/>
      <c r="D45" s="120"/>
      <c r="E45" s="120"/>
      <c r="F45" s="120"/>
      <c r="G45" s="120"/>
      <c r="H45" s="120"/>
      <c r="I45" s="120"/>
      <c r="J45" s="120"/>
      <c r="K45" s="120"/>
      <c r="L45" s="120"/>
      <c r="M45" s="120"/>
      <c r="N45" s="120"/>
    </row>
    <row r="46" spans="1:14" ht="16.5" thickBot="1" x14ac:dyDescent="0.3">
      <c r="B46" s="4"/>
      <c r="C46" s="4"/>
      <c r="D46" s="4" t="s">
        <v>27</v>
      </c>
      <c r="E46" s="4"/>
      <c r="F46" s="4"/>
      <c r="G46" s="4" t="s">
        <v>28</v>
      </c>
      <c r="H46" s="4"/>
      <c r="I46" s="4"/>
      <c r="J46" s="4" t="s">
        <v>29</v>
      </c>
      <c r="K46" s="4"/>
      <c r="L46" s="4"/>
      <c r="M46" s="4" t="s">
        <v>30</v>
      </c>
      <c r="N46" s="4" t="s">
        <v>22</v>
      </c>
    </row>
    <row r="47" spans="1:14" ht="16.5" thickBot="1" x14ac:dyDescent="0.3">
      <c r="A47" s="1" t="s">
        <v>23</v>
      </c>
      <c r="B47" s="23"/>
      <c r="C47" s="23"/>
      <c r="D47" s="17">
        <v>11</v>
      </c>
      <c r="E47" s="23"/>
      <c r="F47" s="23"/>
      <c r="G47" s="17">
        <v>11</v>
      </c>
      <c r="H47" s="23"/>
      <c r="I47" s="23"/>
      <c r="J47" s="17">
        <v>11</v>
      </c>
      <c r="K47" s="23"/>
      <c r="L47" s="23"/>
      <c r="M47" s="17">
        <v>11</v>
      </c>
      <c r="N47" s="37"/>
    </row>
    <row r="48" spans="1:14" ht="16.5" thickBot="1" x14ac:dyDescent="0.3">
      <c r="A48" s="1" t="s">
        <v>24</v>
      </c>
      <c r="B48" s="13"/>
      <c r="C48" s="13"/>
      <c r="D48" s="6">
        <f>ROUND((K43+L43+M43)*(1+D62),0)</f>
        <v>48181</v>
      </c>
      <c r="E48" s="13"/>
      <c r="F48" s="13"/>
      <c r="G48" s="6">
        <f>ROUND(D48*(1+D62),0)</f>
        <v>60226</v>
      </c>
      <c r="H48" s="13"/>
      <c r="I48" s="13"/>
      <c r="J48" s="6">
        <f>ROUND(G48*(1+D62),0)</f>
        <v>75283</v>
      </c>
      <c r="K48" s="13"/>
      <c r="L48" s="13"/>
      <c r="M48" s="6">
        <f>ROUND(J48*(1+D62),0)</f>
        <v>94104</v>
      </c>
      <c r="N48" s="6">
        <f>SUM(B48:M48)</f>
        <v>277794</v>
      </c>
    </row>
    <row r="49" spans="1:14" x14ac:dyDescent="0.25">
      <c r="B49" s="13"/>
      <c r="C49" s="13"/>
      <c r="D49" s="13"/>
      <c r="E49" s="13"/>
      <c r="F49" s="13"/>
      <c r="G49" s="13"/>
      <c r="H49" s="13"/>
      <c r="I49" s="13"/>
      <c r="J49" s="13"/>
      <c r="K49" s="13"/>
      <c r="L49" s="13"/>
      <c r="M49" s="13"/>
      <c r="N49" s="13"/>
    </row>
    <row r="50" spans="1:14" x14ac:dyDescent="0.25">
      <c r="B50" s="120" t="s">
        <v>31</v>
      </c>
      <c r="C50" s="120"/>
      <c r="D50" s="120"/>
      <c r="E50" s="120"/>
      <c r="F50" s="120"/>
      <c r="G50" s="120"/>
      <c r="H50" s="120"/>
      <c r="I50" s="120"/>
      <c r="J50" s="120"/>
      <c r="K50" s="120"/>
      <c r="L50" s="120"/>
      <c r="M50" s="120"/>
      <c r="N50" s="120"/>
    </row>
    <row r="51" spans="1:14" ht="16.5" thickBot="1" x14ac:dyDescent="0.3">
      <c r="B51" s="4"/>
      <c r="C51" s="4"/>
      <c r="D51" s="4" t="s">
        <v>27</v>
      </c>
      <c r="E51" s="4"/>
      <c r="F51" s="4"/>
      <c r="G51" s="4" t="s">
        <v>28</v>
      </c>
      <c r="H51" s="4"/>
      <c r="I51" s="4"/>
      <c r="J51" s="4" t="s">
        <v>29</v>
      </c>
      <c r="K51" s="4"/>
      <c r="L51" s="4"/>
      <c r="M51" s="4" t="s">
        <v>30</v>
      </c>
      <c r="N51" s="4" t="s">
        <v>22</v>
      </c>
    </row>
    <row r="52" spans="1:14" ht="16.5" thickBot="1" x14ac:dyDescent="0.3">
      <c r="A52" s="1" t="s">
        <v>23</v>
      </c>
      <c r="B52" s="23"/>
      <c r="C52" s="23"/>
      <c r="D52" s="17">
        <v>12</v>
      </c>
      <c r="E52" s="23"/>
      <c r="F52" s="23"/>
      <c r="G52" s="17">
        <v>12</v>
      </c>
      <c r="H52" s="23"/>
      <c r="I52" s="23"/>
      <c r="J52" s="17">
        <v>12</v>
      </c>
      <c r="K52" s="23"/>
      <c r="L52" s="23"/>
      <c r="M52" s="17">
        <v>12</v>
      </c>
      <c r="N52" s="37"/>
    </row>
    <row r="53" spans="1:14" ht="16.5" thickBot="1" x14ac:dyDescent="0.3">
      <c r="A53" s="1" t="s">
        <v>24</v>
      </c>
      <c r="B53" s="13"/>
      <c r="C53" s="13"/>
      <c r="D53" s="6">
        <f>ROUND((M48)*(1+D63),0)</f>
        <v>108220</v>
      </c>
      <c r="E53" s="13"/>
      <c r="F53" s="13"/>
      <c r="G53" s="6">
        <f>ROUND(D53*(1+D63),0)</f>
        <v>124453</v>
      </c>
      <c r="H53" s="13"/>
      <c r="I53" s="13"/>
      <c r="J53" s="6">
        <f>ROUND(G53*(1+D63),0)</f>
        <v>143121</v>
      </c>
      <c r="K53" s="13"/>
      <c r="L53" s="13"/>
      <c r="M53" s="6">
        <f>ROUND(J53*(1+D63),0)</f>
        <v>164589</v>
      </c>
      <c r="N53" s="6">
        <f>SUM(B53:M53)</f>
        <v>540383</v>
      </c>
    </row>
    <row r="54" spans="1:14" x14ac:dyDescent="0.25">
      <c r="B54" s="13"/>
      <c r="C54" s="13"/>
      <c r="D54" s="13"/>
      <c r="E54" s="13"/>
      <c r="F54" s="13"/>
      <c r="G54" s="13"/>
      <c r="H54" s="13"/>
      <c r="I54" s="13"/>
      <c r="J54" s="13"/>
      <c r="K54" s="13"/>
      <c r="L54" s="13"/>
      <c r="M54" s="13"/>
      <c r="N54" s="13"/>
    </row>
    <row r="55" spans="1:14" x14ac:dyDescent="0.25">
      <c r="B55" s="120" t="s">
        <v>32</v>
      </c>
      <c r="C55" s="120"/>
      <c r="D55" s="120"/>
      <c r="E55" s="120"/>
      <c r="F55" s="120"/>
      <c r="G55" s="120"/>
      <c r="H55" s="120"/>
      <c r="I55" s="120"/>
      <c r="J55" s="120"/>
      <c r="K55" s="120"/>
      <c r="L55" s="120"/>
      <c r="M55" s="120"/>
      <c r="N55" s="120"/>
    </row>
    <row r="56" spans="1:14" ht="16.5" thickBot="1" x14ac:dyDescent="0.3">
      <c r="B56" s="4"/>
      <c r="C56" s="4"/>
      <c r="D56" s="4"/>
      <c r="E56" s="4"/>
      <c r="F56" s="4"/>
      <c r="G56" s="4"/>
      <c r="H56" s="4"/>
      <c r="I56" s="4"/>
      <c r="J56" s="4"/>
      <c r="K56" s="4"/>
      <c r="L56" s="4"/>
      <c r="M56" s="4"/>
      <c r="N56" s="4" t="s">
        <v>22</v>
      </c>
    </row>
    <row r="57" spans="1:14" ht="16.5" thickBot="1" x14ac:dyDescent="0.3">
      <c r="A57" s="1" t="s">
        <v>23</v>
      </c>
      <c r="B57" s="23"/>
      <c r="C57" s="23"/>
      <c r="D57" s="23"/>
      <c r="E57" s="23"/>
      <c r="F57" s="23"/>
      <c r="G57" s="23"/>
      <c r="H57" s="23"/>
      <c r="I57" s="23"/>
      <c r="J57" s="23"/>
      <c r="K57" s="23"/>
      <c r="L57" s="23"/>
      <c r="M57" s="17">
        <v>12.5</v>
      </c>
      <c r="N57" s="37"/>
    </row>
    <row r="58" spans="1:14" ht="16.5" thickBot="1" x14ac:dyDescent="0.3">
      <c r="A58" s="1" t="s">
        <v>24</v>
      </c>
      <c r="B58" s="13"/>
      <c r="C58" s="13"/>
      <c r="D58" s="13"/>
      <c r="E58" s="13"/>
      <c r="F58" s="13"/>
      <c r="G58" s="13"/>
      <c r="H58" s="13"/>
      <c r="I58" s="13"/>
      <c r="J58" s="13"/>
      <c r="K58" s="13"/>
      <c r="L58" s="13"/>
      <c r="M58" s="13"/>
      <c r="N58" s="6">
        <f>ROUND(N53*(1+D64),0)</f>
        <v>702498</v>
      </c>
    </row>
    <row r="60" spans="1:14" ht="16.5" thickBot="1" x14ac:dyDescent="0.3">
      <c r="B60" s="12" t="s">
        <v>33</v>
      </c>
      <c r="D60" s="12" t="s">
        <v>34</v>
      </c>
    </row>
    <row r="61" spans="1:14" ht="16.5" thickBot="1" x14ac:dyDescent="0.3">
      <c r="A61" s="1" t="s">
        <v>35</v>
      </c>
      <c r="B61" s="8">
        <v>1.5</v>
      </c>
      <c r="D61" s="7">
        <f t="shared" ref="D61" si="6">B61/12</f>
        <v>0.125</v>
      </c>
    </row>
    <row r="62" spans="1:14" ht="16.5" thickBot="1" x14ac:dyDescent="0.3">
      <c r="A62" s="1" t="s">
        <v>36</v>
      </c>
      <c r="B62" s="8">
        <v>1</v>
      </c>
      <c r="D62" s="7">
        <f>B62/4</f>
        <v>0.25</v>
      </c>
    </row>
    <row r="63" spans="1:14" ht="16.5" thickBot="1" x14ac:dyDescent="0.3">
      <c r="A63" s="1" t="s">
        <v>37</v>
      </c>
      <c r="B63" s="8">
        <v>0.6</v>
      </c>
      <c r="D63" s="7">
        <f>B63/4</f>
        <v>0.15</v>
      </c>
    </row>
    <row r="64" spans="1:14" ht="16.5" thickBot="1" x14ac:dyDescent="0.3">
      <c r="A64" s="1" t="s">
        <v>38</v>
      </c>
      <c r="B64" s="8">
        <v>0.3</v>
      </c>
      <c r="D64" s="7">
        <f>B64</f>
        <v>0.3</v>
      </c>
    </row>
    <row r="66" spans="1:14" ht="18.75" x14ac:dyDescent="0.3">
      <c r="A66" s="119" t="s">
        <v>40</v>
      </c>
      <c r="B66" s="119"/>
      <c r="C66" s="119"/>
      <c r="D66" s="119"/>
      <c r="E66" s="119"/>
      <c r="F66" s="119"/>
      <c r="G66" s="119"/>
      <c r="H66" s="119"/>
      <c r="I66" s="119"/>
      <c r="J66" s="119"/>
      <c r="K66" s="119"/>
      <c r="L66" s="119"/>
      <c r="M66" s="119"/>
      <c r="N66" s="119"/>
    </row>
    <row r="67" spans="1:14" x14ac:dyDescent="0.25">
      <c r="B67" s="120" t="s">
        <v>9</v>
      </c>
      <c r="C67" s="120"/>
      <c r="D67" s="120"/>
      <c r="E67" s="120"/>
      <c r="F67" s="120"/>
      <c r="G67" s="120"/>
      <c r="H67" s="120"/>
      <c r="I67" s="120"/>
      <c r="J67" s="120"/>
      <c r="K67" s="120"/>
      <c r="L67" s="120"/>
      <c r="M67" s="120"/>
      <c r="N67" s="120"/>
    </row>
    <row r="68" spans="1:14" ht="16.5" thickBot="1" x14ac:dyDescent="0.3">
      <c r="B68" s="4" t="s">
        <v>10</v>
      </c>
      <c r="C68" s="4" t="s">
        <v>11</v>
      </c>
      <c r="D68" s="4" t="s">
        <v>12</v>
      </c>
      <c r="E68" s="4" t="s">
        <v>13</v>
      </c>
      <c r="F68" s="4" t="s">
        <v>14</v>
      </c>
      <c r="G68" s="4" t="s">
        <v>15</v>
      </c>
      <c r="H68" s="4" t="s">
        <v>16</v>
      </c>
      <c r="I68" s="4" t="s">
        <v>17</v>
      </c>
      <c r="J68" s="4" t="s">
        <v>18</v>
      </c>
      <c r="K68" s="4" t="s">
        <v>19</v>
      </c>
      <c r="L68" s="4" t="s">
        <v>20</v>
      </c>
      <c r="M68" s="4" t="s">
        <v>21</v>
      </c>
      <c r="N68" s="4" t="s">
        <v>22</v>
      </c>
    </row>
    <row r="69" spans="1:14" ht="16.5" thickBot="1" x14ac:dyDescent="0.3">
      <c r="A69" s="1" t="s">
        <v>23</v>
      </c>
      <c r="B69" s="17">
        <v>2</v>
      </c>
      <c r="C69" s="17">
        <v>2</v>
      </c>
      <c r="D69" s="17">
        <v>2</v>
      </c>
      <c r="E69" s="17">
        <v>2</v>
      </c>
      <c r="F69" s="17">
        <v>2</v>
      </c>
      <c r="G69" s="17">
        <v>2</v>
      </c>
      <c r="H69" s="17">
        <v>2</v>
      </c>
      <c r="I69" s="17">
        <v>2</v>
      </c>
      <c r="J69" s="17">
        <v>2</v>
      </c>
      <c r="K69" s="17">
        <v>2</v>
      </c>
      <c r="L69" s="17">
        <v>2</v>
      </c>
      <c r="M69" s="17">
        <v>2</v>
      </c>
      <c r="N69" s="16"/>
    </row>
    <row r="70" spans="1:14" ht="16.5" thickBot="1" x14ac:dyDescent="0.3">
      <c r="A70" s="1" t="s">
        <v>24</v>
      </c>
      <c r="B70" s="5">
        <v>0</v>
      </c>
      <c r="C70" s="5">
        <v>0</v>
      </c>
      <c r="D70" s="5">
        <v>0</v>
      </c>
      <c r="E70" s="5">
        <v>0</v>
      </c>
      <c r="F70" s="5">
        <v>0</v>
      </c>
      <c r="G70" s="5">
        <v>0</v>
      </c>
      <c r="H70" s="5">
        <v>1050</v>
      </c>
      <c r="I70" s="5">
        <v>1075</v>
      </c>
      <c r="J70" s="5">
        <v>1500</v>
      </c>
      <c r="K70" s="5">
        <v>1650</v>
      </c>
      <c r="L70" s="5">
        <v>1700</v>
      </c>
      <c r="M70" s="5">
        <v>2000</v>
      </c>
      <c r="N70" s="6">
        <f>SUM(B70:M70)</f>
        <v>8975</v>
      </c>
    </row>
    <row r="71" spans="1:14" ht="15" customHeight="1" x14ac:dyDescent="0.25">
      <c r="B71" s="13"/>
      <c r="C71" s="13"/>
      <c r="D71" s="13"/>
      <c r="E71" s="13"/>
      <c r="F71" s="13"/>
      <c r="G71" s="13"/>
      <c r="H71" s="13"/>
      <c r="I71" s="13"/>
      <c r="J71" s="13"/>
      <c r="K71" s="13"/>
      <c r="L71" s="13"/>
      <c r="M71" s="13"/>
      <c r="N71" s="13"/>
    </row>
    <row r="72" spans="1:14" x14ac:dyDescent="0.25">
      <c r="B72" s="120" t="s">
        <v>25</v>
      </c>
      <c r="C72" s="120"/>
      <c r="D72" s="120"/>
      <c r="E72" s="120"/>
      <c r="F72" s="120"/>
      <c r="G72" s="120"/>
      <c r="H72" s="120"/>
      <c r="I72" s="120"/>
      <c r="J72" s="120"/>
      <c r="K72" s="120"/>
      <c r="L72" s="120"/>
      <c r="M72" s="120"/>
      <c r="N72" s="120"/>
    </row>
    <row r="73" spans="1:14" ht="16.5" thickBot="1" x14ac:dyDescent="0.3">
      <c r="B73" s="4" t="s">
        <v>10</v>
      </c>
      <c r="C73" s="4" t="s">
        <v>11</v>
      </c>
      <c r="D73" s="4" t="s">
        <v>12</v>
      </c>
      <c r="E73" s="4" t="s">
        <v>13</v>
      </c>
      <c r="F73" s="4" t="s">
        <v>14</v>
      </c>
      <c r="G73" s="4" t="s">
        <v>15</v>
      </c>
      <c r="H73" s="4" t="s">
        <v>16</v>
      </c>
      <c r="I73" s="4" t="s">
        <v>17</v>
      </c>
      <c r="J73" s="4" t="s">
        <v>18</v>
      </c>
      <c r="K73" s="4" t="s">
        <v>19</v>
      </c>
      <c r="L73" s="4" t="s">
        <v>20</v>
      </c>
      <c r="M73" s="4" t="s">
        <v>21</v>
      </c>
      <c r="N73" s="4" t="s">
        <v>22</v>
      </c>
    </row>
    <row r="74" spans="1:14" ht="16.5" thickBot="1" x14ac:dyDescent="0.3">
      <c r="A74" s="1" t="s">
        <v>23</v>
      </c>
      <c r="B74" s="17">
        <v>2</v>
      </c>
      <c r="C74" s="17">
        <v>2</v>
      </c>
      <c r="D74" s="17">
        <v>2</v>
      </c>
      <c r="E74" s="17">
        <v>2</v>
      </c>
      <c r="F74" s="17">
        <v>2</v>
      </c>
      <c r="G74" s="17">
        <v>2</v>
      </c>
      <c r="H74" s="17">
        <v>2</v>
      </c>
      <c r="I74" s="17">
        <v>2</v>
      </c>
      <c r="J74" s="17">
        <v>2</v>
      </c>
      <c r="K74" s="17">
        <v>2</v>
      </c>
      <c r="L74" s="17">
        <v>2</v>
      </c>
      <c r="M74" s="17">
        <v>2</v>
      </c>
      <c r="N74" s="16"/>
    </row>
    <row r="75" spans="1:14" ht="16.5" thickBot="1" x14ac:dyDescent="0.3">
      <c r="A75" s="1" t="s">
        <v>24</v>
      </c>
      <c r="B75" s="6">
        <f>ROUND(M70*(1+D93),0)</f>
        <v>2250</v>
      </c>
      <c r="C75" s="6">
        <f>ROUND(B75*(1+$D$29),0)</f>
        <v>2531</v>
      </c>
      <c r="D75" s="6">
        <f t="shared" ref="D75:M75" si="7">ROUND(C75*(1+$D$29),0)</f>
        <v>2847</v>
      </c>
      <c r="E75" s="6">
        <f t="shared" si="7"/>
        <v>3203</v>
      </c>
      <c r="F75" s="6">
        <f t="shared" si="7"/>
        <v>3603</v>
      </c>
      <c r="G75" s="6">
        <f t="shared" si="7"/>
        <v>4053</v>
      </c>
      <c r="H75" s="6">
        <f t="shared" si="7"/>
        <v>4560</v>
      </c>
      <c r="I75" s="6">
        <f t="shared" si="7"/>
        <v>5130</v>
      </c>
      <c r="J75" s="6">
        <f t="shared" si="7"/>
        <v>5771</v>
      </c>
      <c r="K75" s="6">
        <f t="shared" si="7"/>
        <v>6492</v>
      </c>
      <c r="L75" s="6">
        <f t="shared" si="7"/>
        <v>7304</v>
      </c>
      <c r="M75" s="6">
        <f t="shared" si="7"/>
        <v>8217</v>
      </c>
      <c r="N75" s="6">
        <f>SUM(B75:M75)</f>
        <v>55961</v>
      </c>
    </row>
    <row r="76" spans="1:14" x14ac:dyDescent="0.25">
      <c r="B76" s="13"/>
      <c r="C76" s="13"/>
      <c r="D76" s="13"/>
      <c r="E76" s="13"/>
      <c r="F76" s="13"/>
      <c r="G76" s="13"/>
      <c r="H76" s="13"/>
      <c r="I76" s="13"/>
      <c r="J76" s="13"/>
      <c r="K76" s="13"/>
      <c r="L76" s="13"/>
      <c r="M76" s="13"/>
      <c r="N76" s="13"/>
    </row>
    <row r="77" spans="1:14" x14ac:dyDescent="0.25">
      <c r="B77" s="120" t="s">
        <v>26</v>
      </c>
      <c r="C77" s="120"/>
      <c r="D77" s="120"/>
      <c r="E77" s="120"/>
      <c r="F77" s="120"/>
      <c r="G77" s="120"/>
      <c r="H77" s="120"/>
      <c r="I77" s="120"/>
      <c r="J77" s="120"/>
      <c r="K77" s="120"/>
      <c r="L77" s="120"/>
      <c r="M77" s="120"/>
      <c r="N77" s="120"/>
    </row>
    <row r="78" spans="1:14" ht="16.5" thickBot="1" x14ac:dyDescent="0.3">
      <c r="B78" s="4"/>
      <c r="C78" s="4"/>
      <c r="D78" s="4" t="s">
        <v>27</v>
      </c>
      <c r="E78" s="4"/>
      <c r="F78" s="4"/>
      <c r="G78" s="4" t="s">
        <v>28</v>
      </c>
      <c r="H78" s="4"/>
      <c r="I78" s="4"/>
      <c r="J78" s="4" t="s">
        <v>29</v>
      </c>
      <c r="K78" s="4"/>
      <c r="L78" s="4"/>
      <c r="M78" s="4" t="s">
        <v>30</v>
      </c>
      <c r="N78" s="4" t="s">
        <v>22</v>
      </c>
    </row>
    <row r="79" spans="1:14" ht="16.5" thickBot="1" x14ac:dyDescent="0.3">
      <c r="A79" s="1" t="s">
        <v>23</v>
      </c>
      <c r="B79" s="23"/>
      <c r="C79" s="23"/>
      <c r="D79" s="17">
        <v>2</v>
      </c>
      <c r="E79" s="23"/>
      <c r="F79" s="23"/>
      <c r="G79" s="17">
        <v>2</v>
      </c>
      <c r="H79" s="23"/>
      <c r="I79" s="23"/>
      <c r="J79" s="17">
        <v>2</v>
      </c>
      <c r="K79" s="23"/>
      <c r="L79" s="23"/>
      <c r="M79" s="17">
        <v>2</v>
      </c>
      <c r="N79" s="37"/>
    </row>
    <row r="80" spans="1:14" ht="16.5" thickBot="1" x14ac:dyDescent="0.3">
      <c r="A80" s="1" t="s">
        <v>24</v>
      </c>
      <c r="B80" s="13"/>
      <c r="C80" s="13"/>
      <c r="D80" s="6">
        <f>ROUND((K75+L75+M75)*(1+D94),0)</f>
        <v>27516</v>
      </c>
      <c r="E80" s="13"/>
      <c r="F80" s="13"/>
      <c r="G80" s="6">
        <f>ROUND(D80*(1+D94),0)</f>
        <v>34395</v>
      </c>
      <c r="H80" s="13"/>
      <c r="I80" s="13"/>
      <c r="J80" s="6">
        <f>ROUND(G80*(1+D94),0)</f>
        <v>42994</v>
      </c>
      <c r="K80" s="13"/>
      <c r="L80" s="13"/>
      <c r="M80" s="6">
        <f>ROUND(J80*(1+D94),0)</f>
        <v>53743</v>
      </c>
      <c r="N80" s="6">
        <f>SUM(B80:M80)</f>
        <v>158648</v>
      </c>
    </row>
    <row r="81" spans="1:14" x14ac:dyDescent="0.25">
      <c r="B81" s="13"/>
      <c r="C81" s="13"/>
      <c r="D81" s="13"/>
      <c r="E81" s="13"/>
      <c r="F81" s="13"/>
      <c r="G81" s="13"/>
      <c r="H81" s="13"/>
      <c r="I81" s="13"/>
      <c r="J81" s="13"/>
      <c r="K81" s="13"/>
      <c r="L81" s="13"/>
      <c r="M81" s="13"/>
      <c r="N81" s="13"/>
    </row>
    <row r="82" spans="1:14" x14ac:dyDescent="0.25">
      <c r="B82" s="120" t="s">
        <v>31</v>
      </c>
      <c r="C82" s="120"/>
      <c r="D82" s="120"/>
      <c r="E82" s="120"/>
      <c r="F82" s="120"/>
      <c r="G82" s="120"/>
      <c r="H82" s="120"/>
      <c r="I82" s="120"/>
      <c r="J82" s="120"/>
      <c r="K82" s="120"/>
      <c r="L82" s="120"/>
      <c r="M82" s="120"/>
      <c r="N82" s="120"/>
    </row>
    <row r="83" spans="1:14" ht="16.5" thickBot="1" x14ac:dyDescent="0.3">
      <c r="B83" s="4"/>
      <c r="C83" s="4"/>
      <c r="D83" s="4" t="s">
        <v>27</v>
      </c>
      <c r="E83" s="4"/>
      <c r="F83" s="4"/>
      <c r="G83" s="4" t="s">
        <v>28</v>
      </c>
      <c r="H83" s="4"/>
      <c r="I83" s="4"/>
      <c r="J83" s="4" t="s">
        <v>29</v>
      </c>
      <c r="K83" s="4"/>
      <c r="L83" s="4"/>
      <c r="M83" s="4" t="s">
        <v>30</v>
      </c>
      <c r="N83" s="4" t="s">
        <v>22</v>
      </c>
    </row>
    <row r="84" spans="1:14" ht="16.5" thickBot="1" x14ac:dyDescent="0.3">
      <c r="A84" s="1" t="s">
        <v>23</v>
      </c>
      <c r="B84" s="23"/>
      <c r="C84" s="23"/>
      <c r="D84" s="17">
        <v>2</v>
      </c>
      <c r="E84" s="23"/>
      <c r="F84" s="23"/>
      <c r="G84" s="17">
        <v>2</v>
      </c>
      <c r="H84" s="23"/>
      <c r="I84" s="23"/>
      <c r="J84" s="17">
        <v>2</v>
      </c>
      <c r="K84" s="23"/>
      <c r="L84" s="23"/>
      <c r="M84" s="17">
        <v>2</v>
      </c>
      <c r="N84" s="37"/>
    </row>
    <row r="85" spans="1:14" ht="16.5" thickBot="1" x14ac:dyDescent="0.3">
      <c r="A85" s="1" t="s">
        <v>24</v>
      </c>
      <c r="B85" s="13"/>
      <c r="C85" s="13"/>
      <c r="D85" s="6">
        <f>ROUND((M80)*(1+D95),0)</f>
        <v>61804</v>
      </c>
      <c r="E85" s="13"/>
      <c r="F85" s="13"/>
      <c r="G85" s="6">
        <f>ROUND(D85*(1+D95),0)</f>
        <v>71075</v>
      </c>
      <c r="H85" s="13"/>
      <c r="I85" s="13"/>
      <c r="J85" s="6">
        <f>ROUND(G85*(1+D95),0)</f>
        <v>81736</v>
      </c>
      <c r="K85" s="13"/>
      <c r="L85" s="13"/>
      <c r="M85" s="6">
        <f>ROUND(J85*(1+D95),0)</f>
        <v>93996</v>
      </c>
      <c r="N85" s="6">
        <f>SUM(B85:M85)</f>
        <v>308611</v>
      </c>
    </row>
    <row r="86" spans="1:14" x14ac:dyDescent="0.25">
      <c r="B86" s="13"/>
      <c r="C86" s="13"/>
      <c r="D86" s="13"/>
      <c r="E86" s="13"/>
      <c r="F86" s="13"/>
      <c r="G86" s="13"/>
      <c r="H86" s="13"/>
      <c r="I86" s="13"/>
      <c r="J86" s="13"/>
      <c r="K86" s="13"/>
      <c r="L86" s="13"/>
      <c r="M86" s="13"/>
      <c r="N86" s="13"/>
    </row>
    <row r="87" spans="1:14" x14ac:dyDescent="0.25">
      <c r="B87" s="120" t="s">
        <v>32</v>
      </c>
      <c r="C87" s="120"/>
      <c r="D87" s="120"/>
      <c r="E87" s="120"/>
      <c r="F87" s="120"/>
      <c r="G87" s="120"/>
      <c r="H87" s="120"/>
      <c r="I87" s="120"/>
      <c r="J87" s="120"/>
      <c r="K87" s="120"/>
      <c r="L87" s="120"/>
      <c r="M87" s="120"/>
      <c r="N87" s="120"/>
    </row>
    <row r="88" spans="1:14" ht="16.5" thickBot="1" x14ac:dyDescent="0.3">
      <c r="B88" s="4"/>
      <c r="C88" s="4"/>
      <c r="D88" s="4"/>
      <c r="E88" s="4"/>
      <c r="F88" s="4"/>
      <c r="G88" s="4"/>
      <c r="H88" s="4"/>
      <c r="I88" s="4"/>
      <c r="J88" s="4"/>
      <c r="K88" s="4"/>
      <c r="L88" s="4"/>
      <c r="M88" s="4"/>
      <c r="N88" s="4" t="s">
        <v>22</v>
      </c>
    </row>
    <row r="89" spans="1:14" ht="16.5" thickBot="1" x14ac:dyDescent="0.3">
      <c r="A89" s="1" t="s">
        <v>23</v>
      </c>
      <c r="B89" s="23"/>
      <c r="C89" s="23"/>
      <c r="D89" s="23"/>
      <c r="E89" s="23"/>
      <c r="F89" s="23"/>
      <c r="G89" s="23"/>
      <c r="H89" s="23"/>
      <c r="I89" s="23"/>
      <c r="J89" s="23"/>
      <c r="K89" s="23"/>
      <c r="L89" s="23"/>
      <c r="M89" s="17">
        <v>2</v>
      </c>
      <c r="N89" s="37"/>
    </row>
    <row r="90" spans="1:14" ht="16.5" thickBot="1" x14ac:dyDescent="0.3">
      <c r="A90" s="1" t="s">
        <v>24</v>
      </c>
      <c r="B90" s="13"/>
      <c r="C90" s="13"/>
      <c r="D90" s="13"/>
      <c r="E90" s="13"/>
      <c r="F90" s="13"/>
      <c r="G90" s="13"/>
      <c r="H90" s="13"/>
      <c r="I90" s="13"/>
      <c r="J90" s="13"/>
      <c r="K90" s="13"/>
      <c r="L90" s="13"/>
      <c r="M90" s="13"/>
      <c r="N90" s="6">
        <f>ROUND(N85*(1+D96),0)</f>
        <v>401194</v>
      </c>
    </row>
    <row r="92" spans="1:14" ht="16.5" thickBot="1" x14ac:dyDescent="0.3">
      <c r="B92" s="12" t="s">
        <v>33</v>
      </c>
      <c r="D92" s="12" t="s">
        <v>34</v>
      </c>
    </row>
    <row r="93" spans="1:14" ht="16.5" thickBot="1" x14ac:dyDescent="0.3">
      <c r="A93" s="1" t="s">
        <v>35</v>
      </c>
      <c r="B93" s="8">
        <v>1.5</v>
      </c>
      <c r="D93" s="7">
        <f t="shared" ref="D93" si="8">B93/12</f>
        <v>0.125</v>
      </c>
    </row>
    <row r="94" spans="1:14" ht="16.5" thickBot="1" x14ac:dyDescent="0.3">
      <c r="A94" s="1" t="s">
        <v>36</v>
      </c>
      <c r="B94" s="8">
        <v>1</v>
      </c>
      <c r="D94" s="7">
        <f>B94/4</f>
        <v>0.25</v>
      </c>
    </row>
    <row r="95" spans="1:14" ht="16.5" thickBot="1" x14ac:dyDescent="0.3">
      <c r="A95" s="1" t="s">
        <v>37</v>
      </c>
      <c r="B95" s="8">
        <v>0.6</v>
      </c>
      <c r="D95" s="7">
        <f>B95/4</f>
        <v>0.15</v>
      </c>
    </row>
    <row r="96" spans="1:14" ht="16.5" thickBot="1" x14ac:dyDescent="0.3">
      <c r="A96" s="1" t="s">
        <v>38</v>
      </c>
      <c r="B96" s="8">
        <v>0.3</v>
      </c>
      <c r="D96" s="7">
        <f>B96</f>
        <v>0.3</v>
      </c>
    </row>
    <row r="99" spans="1:18" x14ac:dyDescent="0.25">
      <c r="A99" s="11" t="s">
        <v>41</v>
      </c>
      <c r="F99" s="12" t="s">
        <v>25</v>
      </c>
      <c r="G99" s="12" t="s">
        <v>26</v>
      </c>
      <c r="H99" s="12" t="s">
        <v>31</v>
      </c>
      <c r="I99" s="12" t="s">
        <v>32</v>
      </c>
    </row>
    <row r="100" spans="1:18" ht="16.5" thickBot="1" x14ac:dyDescent="0.3">
      <c r="A100" s="11" t="s">
        <v>42</v>
      </c>
      <c r="B100" s="12" t="s">
        <v>43</v>
      </c>
      <c r="D100" s="11" t="s">
        <v>44</v>
      </c>
      <c r="F100" s="12" t="s">
        <v>34</v>
      </c>
      <c r="G100" s="12" t="s">
        <v>34</v>
      </c>
      <c r="H100" s="12" t="s">
        <v>34</v>
      </c>
      <c r="I100" s="12" t="s">
        <v>34</v>
      </c>
    </row>
    <row r="101" spans="1:18" ht="16.5" thickBot="1" x14ac:dyDescent="0.3">
      <c r="A101" s="1" t="s">
        <v>45</v>
      </c>
      <c r="B101" s="17">
        <v>5.25</v>
      </c>
      <c r="D101" s="15">
        <v>0.02</v>
      </c>
      <c r="F101" s="7">
        <f>D101/12</f>
        <v>1.6666666666666668E-3</v>
      </c>
      <c r="G101" s="7">
        <f>D101/4</f>
        <v>5.0000000000000001E-3</v>
      </c>
      <c r="H101" s="7">
        <f>D101/4</f>
        <v>5.0000000000000001E-3</v>
      </c>
      <c r="I101" s="7">
        <f>D101</f>
        <v>0.02</v>
      </c>
    </row>
    <row r="102" spans="1:18" ht="16.5" thickBot="1" x14ac:dyDescent="0.3">
      <c r="A102" s="1" t="s">
        <v>46</v>
      </c>
      <c r="B102" s="17">
        <v>0.75</v>
      </c>
      <c r="D102" s="15">
        <v>0.02</v>
      </c>
      <c r="F102" s="7">
        <f t="shared" ref="F102:F104" si="9">D102/12</f>
        <v>1.6666666666666668E-3</v>
      </c>
      <c r="G102" s="7">
        <f t="shared" ref="G102:G104" si="10">D102/4</f>
        <v>5.0000000000000001E-3</v>
      </c>
      <c r="H102" s="7">
        <f t="shared" ref="H102:H104" si="11">D102/4</f>
        <v>5.0000000000000001E-3</v>
      </c>
      <c r="I102" s="7">
        <f t="shared" ref="I102:I104" si="12">D102</f>
        <v>0.02</v>
      </c>
      <c r="O102" s="35"/>
      <c r="P102" s="35"/>
      <c r="Q102" s="35"/>
      <c r="R102" s="35"/>
    </row>
    <row r="103" spans="1:18" ht="16.5" thickBot="1" x14ac:dyDescent="0.3">
      <c r="A103" s="1" t="s">
        <v>47</v>
      </c>
      <c r="B103" s="17">
        <f>B5*0.03</f>
        <v>0.6</v>
      </c>
      <c r="D103" s="15">
        <v>0.02</v>
      </c>
      <c r="F103" s="7">
        <f t="shared" si="9"/>
        <v>1.6666666666666668E-3</v>
      </c>
      <c r="G103" s="7">
        <f t="shared" si="10"/>
        <v>5.0000000000000001E-3</v>
      </c>
      <c r="H103" s="7">
        <f t="shared" si="11"/>
        <v>5.0000000000000001E-3</v>
      </c>
      <c r="I103" s="7">
        <f t="shared" si="12"/>
        <v>0.02</v>
      </c>
    </row>
    <row r="104" spans="1:18" ht="16.5" thickBot="1" x14ac:dyDescent="0.3">
      <c r="A104" s="1" t="s">
        <v>48</v>
      </c>
      <c r="B104" s="17">
        <v>0.15</v>
      </c>
      <c r="D104" s="15">
        <v>0.05</v>
      </c>
      <c r="F104" s="7">
        <f t="shared" si="9"/>
        <v>4.1666666666666666E-3</v>
      </c>
      <c r="G104" s="7">
        <f t="shared" si="10"/>
        <v>1.2500000000000001E-2</v>
      </c>
      <c r="H104" s="7">
        <f t="shared" si="11"/>
        <v>1.2500000000000001E-2</v>
      </c>
      <c r="I104" s="7">
        <f t="shared" si="12"/>
        <v>0.05</v>
      </c>
    </row>
    <row r="106" spans="1:18" ht="16.5" thickBot="1" x14ac:dyDescent="0.3">
      <c r="A106" s="11" t="s">
        <v>49</v>
      </c>
      <c r="B106" s="12" t="s">
        <v>43</v>
      </c>
      <c r="D106" s="11" t="s">
        <v>44</v>
      </c>
      <c r="F106" s="12" t="s">
        <v>34</v>
      </c>
      <c r="G106" s="12" t="s">
        <v>34</v>
      </c>
      <c r="H106" s="12" t="s">
        <v>34</v>
      </c>
      <c r="I106" s="12" t="s">
        <v>34</v>
      </c>
    </row>
    <row r="107" spans="1:18" ht="16.5" thickBot="1" x14ac:dyDescent="0.3">
      <c r="A107" s="1" t="s">
        <v>50</v>
      </c>
      <c r="B107" s="17">
        <v>5.25</v>
      </c>
      <c r="D107" s="15">
        <v>0.02</v>
      </c>
      <c r="F107" s="7">
        <f>D107/12</f>
        <v>1.6666666666666668E-3</v>
      </c>
      <c r="G107" s="7">
        <f>D107/4</f>
        <v>5.0000000000000001E-3</v>
      </c>
      <c r="H107" s="7">
        <f>D107/4</f>
        <v>5.0000000000000001E-3</v>
      </c>
      <c r="I107" s="7">
        <f>D107</f>
        <v>0.02</v>
      </c>
    </row>
    <row r="108" spans="1:18" ht="16.5" thickBot="1" x14ac:dyDescent="0.3">
      <c r="A108" s="1" t="s">
        <v>46</v>
      </c>
      <c r="B108" s="17">
        <v>0.75</v>
      </c>
      <c r="D108" s="15">
        <v>0.02</v>
      </c>
      <c r="F108" s="7">
        <f t="shared" ref="F108:F110" si="13">D108/12</f>
        <v>1.6666666666666668E-3</v>
      </c>
      <c r="G108" s="7">
        <f t="shared" ref="G108:G110" si="14">D108/4</f>
        <v>5.0000000000000001E-3</v>
      </c>
      <c r="H108" s="7">
        <f t="shared" ref="H108:H110" si="15">D108/4</f>
        <v>5.0000000000000001E-3</v>
      </c>
      <c r="I108" s="7">
        <f t="shared" ref="I108:I110" si="16">D108</f>
        <v>0.02</v>
      </c>
    </row>
    <row r="109" spans="1:18" ht="16.5" thickBot="1" x14ac:dyDescent="0.3">
      <c r="A109" s="1" t="s">
        <v>47</v>
      </c>
      <c r="B109" s="17"/>
      <c r="D109" s="15">
        <v>0.02</v>
      </c>
      <c r="F109" s="7">
        <f t="shared" si="13"/>
        <v>1.6666666666666668E-3</v>
      </c>
      <c r="G109" s="7">
        <f t="shared" si="14"/>
        <v>5.0000000000000001E-3</v>
      </c>
      <c r="H109" s="7">
        <f t="shared" si="15"/>
        <v>5.0000000000000001E-3</v>
      </c>
      <c r="I109" s="7">
        <f t="shared" si="16"/>
        <v>0.02</v>
      </c>
    </row>
    <row r="110" spans="1:18" ht="16.5" thickBot="1" x14ac:dyDescent="0.3">
      <c r="A110" s="1" t="s">
        <v>48</v>
      </c>
      <c r="B110" s="17">
        <v>0.15</v>
      </c>
      <c r="D110" s="15">
        <v>0.05</v>
      </c>
      <c r="F110" s="7">
        <f t="shared" si="13"/>
        <v>4.1666666666666666E-3</v>
      </c>
      <c r="G110" s="7">
        <f t="shared" si="14"/>
        <v>1.2500000000000001E-2</v>
      </c>
      <c r="H110" s="7">
        <f t="shared" si="15"/>
        <v>1.2500000000000001E-2</v>
      </c>
      <c r="I110" s="7">
        <f t="shared" si="16"/>
        <v>0.05</v>
      </c>
    </row>
    <row r="112" spans="1:18" ht="16.5" thickBot="1" x14ac:dyDescent="0.3">
      <c r="A112" s="11" t="s">
        <v>51</v>
      </c>
      <c r="B112" s="12" t="s">
        <v>43</v>
      </c>
      <c r="D112" s="11" t="s">
        <v>44</v>
      </c>
      <c r="F112" s="12" t="s">
        <v>34</v>
      </c>
      <c r="G112" s="12" t="s">
        <v>34</v>
      </c>
      <c r="H112" s="12" t="s">
        <v>34</v>
      </c>
      <c r="I112" s="12" t="s">
        <v>34</v>
      </c>
    </row>
    <row r="113" spans="1:9" ht="16.5" thickBot="1" x14ac:dyDescent="0.3">
      <c r="A113" s="1" t="s">
        <v>52</v>
      </c>
      <c r="B113" s="17">
        <v>0.2</v>
      </c>
      <c r="D113" s="15">
        <v>0.1</v>
      </c>
      <c r="F113" s="7">
        <f>D113/12</f>
        <v>8.3333333333333332E-3</v>
      </c>
      <c r="G113" s="7">
        <f>D113/4</f>
        <v>2.5000000000000001E-2</v>
      </c>
      <c r="H113" s="7">
        <f>D113/4</f>
        <v>2.5000000000000001E-2</v>
      </c>
      <c r="I113" s="7">
        <f>D113</f>
        <v>0.1</v>
      </c>
    </row>
    <row r="114" spans="1:9" ht="16.5" thickBot="1" x14ac:dyDescent="0.3">
      <c r="A114" s="1" t="s">
        <v>53</v>
      </c>
      <c r="B114" s="17">
        <v>0.1</v>
      </c>
      <c r="D114" s="15">
        <v>0.05</v>
      </c>
      <c r="F114" s="7">
        <f t="shared" ref="F114:F116" si="17">D114/12</f>
        <v>4.1666666666666666E-3</v>
      </c>
      <c r="G114" s="7">
        <f t="shared" ref="G114:G116" si="18">D114/4</f>
        <v>1.2500000000000001E-2</v>
      </c>
      <c r="H114" s="7">
        <f t="shared" ref="H114:H116" si="19">D114/4</f>
        <v>1.2500000000000001E-2</v>
      </c>
      <c r="I114" s="7">
        <f t="shared" ref="I114:I116" si="20">D114</f>
        <v>0.05</v>
      </c>
    </row>
    <row r="115" spans="1:9" ht="16.5" thickBot="1" x14ac:dyDescent="0.3">
      <c r="B115" s="17">
        <v>0</v>
      </c>
      <c r="D115" s="15">
        <v>0</v>
      </c>
      <c r="F115" s="7">
        <f t="shared" si="17"/>
        <v>0</v>
      </c>
      <c r="G115" s="7">
        <f t="shared" si="18"/>
        <v>0</v>
      </c>
      <c r="H115" s="7">
        <f t="shared" si="19"/>
        <v>0</v>
      </c>
      <c r="I115" s="7">
        <f t="shared" si="20"/>
        <v>0</v>
      </c>
    </row>
    <row r="116" spans="1:9" ht="16.5" thickBot="1" x14ac:dyDescent="0.3">
      <c r="B116" s="17">
        <v>0</v>
      </c>
      <c r="D116" s="15">
        <v>0</v>
      </c>
      <c r="F116" s="7">
        <f t="shared" si="17"/>
        <v>0</v>
      </c>
      <c r="G116" s="7">
        <f t="shared" si="18"/>
        <v>0</v>
      </c>
      <c r="H116" s="7">
        <f t="shared" si="19"/>
        <v>0</v>
      </c>
      <c r="I116" s="7">
        <f t="shared" si="20"/>
        <v>0</v>
      </c>
    </row>
    <row r="119" spans="1:9" x14ac:dyDescent="0.25">
      <c r="A119" s="11" t="s">
        <v>54</v>
      </c>
      <c r="F119" s="12" t="s">
        <v>25</v>
      </c>
      <c r="G119" s="12" t="s">
        <v>26</v>
      </c>
      <c r="H119" s="12" t="s">
        <v>31</v>
      </c>
      <c r="I119" s="12" t="s">
        <v>32</v>
      </c>
    </row>
    <row r="120" spans="1:9" ht="16.5" thickBot="1" x14ac:dyDescent="0.3">
      <c r="A120" s="2" t="s">
        <v>55</v>
      </c>
      <c r="B120" s="12" t="s">
        <v>56</v>
      </c>
      <c r="D120" s="11" t="s">
        <v>44</v>
      </c>
      <c r="F120" s="12" t="s">
        <v>34</v>
      </c>
      <c r="G120" s="12" t="s">
        <v>34</v>
      </c>
      <c r="H120" s="12" t="s">
        <v>34</v>
      </c>
      <c r="I120" s="12" t="s">
        <v>34</v>
      </c>
    </row>
    <row r="121" spans="1:9" ht="16.5" thickBot="1" x14ac:dyDescent="0.3">
      <c r="A121" s="3" t="s">
        <v>57</v>
      </c>
      <c r="B121" s="17">
        <v>125000</v>
      </c>
      <c r="D121" s="20"/>
      <c r="F121" s="20"/>
      <c r="G121" s="20"/>
      <c r="H121" s="20"/>
      <c r="I121" s="20"/>
    </row>
    <row r="122" spans="1:9" ht="16.5" thickBot="1" x14ac:dyDescent="0.3">
      <c r="A122" s="3" t="s">
        <v>58</v>
      </c>
      <c r="B122" s="17">
        <v>24000</v>
      </c>
      <c r="D122" s="15">
        <v>0.05</v>
      </c>
      <c r="F122" s="7">
        <f>D122/12</f>
        <v>4.1666666666666666E-3</v>
      </c>
      <c r="G122" s="7">
        <f>D122/4</f>
        <v>1.2500000000000001E-2</v>
      </c>
      <c r="H122" s="7">
        <f>D122/4</f>
        <v>1.2500000000000001E-2</v>
      </c>
      <c r="I122" s="7">
        <f>D122</f>
        <v>0.05</v>
      </c>
    </row>
    <row r="123" spans="1:9" ht="16.5" thickBot="1" x14ac:dyDescent="0.3">
      <c r="A123" s="3" t="s">
        <v>59</v>
      </c>
      <c r="B123" s="17">
        <v>8000</v>
      </c>
      <c r="D123" s="15">
        <v>0.05</v>
      </c>
      <c r="F123" s="7">
        <f t="shared" ref="F123:F124" si="21">D123/12</f>
        <v>4.1666666666666666E-3</v>
      </c>
      <c r="G123" s="7">
        <f t="shared" ref="G123:G124" si="22">D123/4</f>
        <v>1.2500000000000001E-2</v>
      </c>
      <c r="H123" s="7">
        <f t="shared" ref="H123:H124" si="23">D123/4</f>
        <v>1.2500000000000001E-2</v>
      </c>
      <c r="I123" s="7">
        <f t="shared" ref="I123:I124" si="24">D123</f>
        <v>0.05</v>
      </c>
    </row>
    <row r="124" spans="1:9" ht="16.5" thickBot="1" x14ac:dyDescent="0.3">
      <c r="A124" s="3" t="s">
        <v>60</v>
      </c>
      <c r="B124" s="17">
        <v>40000</v>
      </c>
      <c r="D124" s="15">
        <v>0.05</v>
      </c>
      <c r="F124" s="7">
        <f t="shared" si="21"/>
        <v>4.1666666666666666E-3</v>
      </c>
      <c r="G124" s="7">
        <f t="shared" si="22"/>
        <v>1.2500000000000001E-2</v>
      </c>
      <c r="H124" s="7">
        <f t="shared" si="23"/>
        <v>1.2500000000000001E-2</v>
      </c>
      <c r="I124" s="7">
        <f t="shared" si="24"/>
        <v>0.05</v>
      </c>
    </row>
    <row r="125" spans="1:9" ht="16.5" thickBot="1" x14ac:dyDescent="0.3">
      <c r="A125" s="3" t="s">
        <v>61</v>
      </c>
      <c r="B125" s="17">
        <v>200000</v>
      </c>
      <c r="D125" s="15">
        <v>0.1</v>
      </c>
      <c r="F125" s="7">
        <f t="shared" ref="F125:F126" si="25">D125/12</f>
        <v>8.3333333333333332E-3</v>
      </c>
      <c r="G125" s="7">
        <f t="shared" ref="G125:G126" si="26">D125/4</f>
        <v>2.5000000000000001E-2</v>
      </c>
      <c r="H125" s="7">
        <f t="shared" ref="H125:H126" si="27">D125/4</f>
        <v>2.5000000000000001E-2</v>
      </c>
      <c r="I125" s="7">
        <f t="shared" ref="I125:I126" si="28">D125</f>
        <v>0.1</v>
      </c>
    </row>
    <row r="126" spans="1:9" ht="16.5" thickBot="1" x14ac:dyDescent="0.3">
      <c r="A126" s="3" t="s">
        <v>62</v>
      </c>
      <c r="B126" s="17">
        <v>2500</v>
      </c>
      <c r="D126" s="15">
        <v>0.05</v>
      </c>
      <c r="F126" s="7">
        <f t="shared" si="25"/>
        <v>4.1666666666666666E-3</v>
      </c>
      <c r="G126" s="7">
        <f t="shared" si="26"/>
        <v>1.2500000000000001E-2</v>
      </c>
      <c r="H126" s="7">
        <f t="shared" si="27"/>
        <v>1.2500000000000001E-2</v>
      </c>
      <c r="I126" s="7">
        <f t="shared" si="28"/>
        <v>0.05</v>
      </c>
    </row>
    <row r="127" spans="1:9" ht="16.5" thickBot="1" x14ac:dyDescent="0.3">
      <c r="A127" s="3" t="s">
        <v>63</v>
      </c>
      <c r="B127" s="17">
        <v>4000</v>
      </c>
      <c r="D127" s="15">
        <v>0.05</v>
      </c>
      <c r="F127" s="7">
        <f t="shared" ref="F127:F134" si="29">D127/12</f>
        <v>4.1666666666666666E-3</v>
      </c>
      <c r="G127" s="7">
        <f t="shared" ref="G127:G134" si="30">D127/4</f>
        <v>1.2500000000000001E-2</v>
      </c>
      <c r="H127" s="7">
        <f t="shared" ref="H127:H134" si="31">D127/4</f>
        <v>1.2500000000000001E-2</v>
      </c>
      <c r="I127" s="7">
        <f t="shared" ref="I127:I134" si="32">D127</f>
        <v>0.05</v>
      </c>
    </row>
    <row r="128" spans="1:9" ht="16.5" thickBot="1" x14ac:dyDescent="0.3">
      <c r="A128" s="3" t="s">
        <v>64</v>
      </c>
      <c r="B128" s="16"/>
      <c r="D128" s="20"/>
      <c r="F128" s="20"/>
      <c r="G128" s="20"/>
      <c r="H128" s="20"/>
      <c r="I128" s="20"/>
    </row>
    <row r="129" spans="1:9" ht="16.5" thickBot="1" x14ac:dyDescent="0.3">
      <c r="A129" s="3" t="s">
        <v>65</v>
      </c>
      <c r="B129" s="16"/>
      <c r="D129" s="20"/>
      <c r="F129" s="20"/>
      <c r="G129" s="20"/>
      <c r="H129" s="20"/>
      <c r="I129" s="20"/>
    </row>
    <row r="130" spans="1:9" ht="16.5" thickBot="1" x14ac:dyDescent="0.3">
      <c r="A130" s="3" t="s">
        <v>66</v>
      </c>
      <c r="B130" s="16"/>
      <c r="D130" s="20"/>
      <c r="F130" s="20"/>
      <c r="G130" s="20"/>
      <c r="H130" s="20"/>
      <c r="I130" s="20"/>
    </row>
    <row r="131" spans="1:9" ht="16.5" thickBot="1" x14ac:dyDescent="0.3">
      <c r="A131" s="3" t="s">
        <v>67</v>
      </c>
      <c r="B131" s="17">
        <v>40000</v>
      </c>
      <c r="D131" s="15">
        <v>0.05</v>
      </c>
      <c r="F131" s="7">
        <f t="shared" si="29"/>
        <v>4.1666666666666666E-3</v>
      </c>
      <c r="G131" s="7">
        <f t="shared" si="30"/>
        <v>1.2500000000000001E-2</v>
      </c>
      <c r="H131" s="7">
        <f t="shared" si="31"/>
        <v>1.2500000000000001E-2</v>
      </c>
      <c r="I131" s="7">
        <f t="shared" si="32"/>
        <v>0.05</v>
      </c>
    </row>
    <row r="132" spans="1:9" ht="16.5" thickBot="1" x14ac:dyDescent="0.3">
      <c r="A132" s="3" t="s">
        <v>68</v>
      </c>
      <c r="B132" s="17">
        <v>20000</v>
      </c>
      <c r="D132" s="15">
        <v>0</v>
      </c>
      <c r="F132" s="7">
        <f t="shared" si="29"/>
        <v>0</v>
      </c>
      <c r="G132" s="7">
        <f t="shared" si="30"/>
        <v>0</v>
      </c>
      <c r="H132" s="7">
        <f t="shared" si="31"/>
        <v>0</v>
      </c>
      <c r="I132" s="7">
        <f t="shared" si="32"/>
        <v>0</v>
      </c>
    </row>
    <row r="133" spans="1:9" ht="16.5" thickBot="1" x14ac:dyDescent="0.3">
      <c r="A133" s="3" t="s">
        <v>69</v>
      </c>
      <c r="B133" s="17">
        <v>2000</v>
      </c>
      <c r="D133" s="15">
        <v>0.05</v>
      </c>
      <c r="F133" s="7">
        <f t="shared" si="29"/>
        <v>4.1666666666666666E-3</v>
      </c>
      <c r="G133" s="7">
        <f t="shared" si="30"/>
        <v>1.2500000000000001E-2</v>
      </c>
      <c r="H133" s="7">
        <f t="shared" si="31"/>
        <v>1.2500000000000001E-2</v>
      </c>
      <c r="I133" s="7">
        <f t="shared" si="32"/>
        <v>0.05</v>
      </c>
    </row>
    <row r="134" spans="1:9" ht="16.5" thickBot="1" x14ac:dyDescent="0.3">
      <c r="A134" s="3"/>
      <c r="B134" s="17">
        <v>0</v>
      </c>
      <c r="D134" s="15">
        <v>0</v>
      </c>
      <c r="F134" s="7">
        <f t="shared" si="29"/>
        <v>0</v>
      </c>
      <c r="G134" s="7">
        <f t="shared" si="30"/>
        <v>0</v>
      </c>
      <c r="H134" s="7">
        <f t="shared" si="31"/>
        <v>0</v>
      </c>
      <c r="I134" s="7">
        <f t="shared" si="32"/>
        <v>0</v>
      </c>
    </row>
    <row r="135" spans="1:9" ht="16.5" thickBot="1" x14ac:dyDescent="0.3">
      <c r="A135" s="2" t="s">
        <v>70</v>
      </c>
      <c r="B135" s="22"/>
    </row>
    <row r="136" spans="1:9" ht="16.5" thickBot="1" x14ac:dyDescent="0.3">
      <c r="A136" s="3" t="s">
        <v>71</v>
      </c>
      <c r="B136" s="17">
        <v>100000</v>
      </c>
      <c r="D136" s="15">
        <v>0.15</v>
      </c>
      <c r="F136" s="7">
        <f t="shared" ref="F136:F144" si="33">D136/12</f>
        <v>1.2499999999999999E-2</v>
      </c>
      <c r="G136" s="7">
        <f t="shared" ref="G136:G144" si="34">D136/4</f>
        <v>3.7499999999999999E-2</v>
      </c>
      <c r="H136" s="7">
        <f t="shared" ref="H136:H144" si="35">D136/4</f>
        <v>3.7499999999999999E-2</v>
      </c>
      <c r="I136" s="7">
        <f t="shared" ref="I136:I144" si="36">D136</f>
        <v>0.15</v>
      </c>
    </row>
    <row r="137" spans="1:9" ht="16.5" thickBot="1" x14ac:dyDescent="0.3">
      <c r="A137" s="3" t="s">
        <v>72</v>
      </c>
      <c r="B137" s="17">
        <v>40000</v>
      </c>
      <c r="D137" s="15">
        <v>0.05</v>
      </c>
      <c r="F137" s="7">
        <f t="shared" si="33"/>
        <v>4.1666666666666666E-3</v>
      </c>
      <c r="G137" s="7">
        <f t="shared" si="34"/>
        <v>1.2500000000000001E-2</v>
      </c>
      <c r="H137" s="7">
        <f t="shared" si="35"/>
        <v>1.2500000000000001E-2</v>
      </c>
      <c r="I137" s="7">
        <f t="shared" si="36"/>
        <v>0.05</v>
      </c>
    </row>
    <row r="138" spans="1:9" ht="16.5" thickBot="1" x14ac:dyDescent="0.3">
      <c r="A138" s="3"/>
      <c r="B138" s="17">
        <v>0</v>
      </c>
      <c r="D138" s="15">
        <v>0</v>
      </c>
      <c r="F138" s="7">
        <f t="shared" si="33"/>
        <v>0</v>
      </c>
      <c r="G138" s="7">
        <f t="shared" si="34"/>
        <v>0</v>
      </c>
      <c r="H138" s="7">
        <f t="shared" si="35"/>
        <v>0</v>
      </c>
      <c r="I138" s="7">
        <f t="shared" si="36"/>
        <v>0</v>
      </c>
    </row>
    <row r="139" spans="1:9" ht="16.5" thickBot="1" x14ac:dyDescent="0.3">
      <c r="A139" s="3"/>
      <c r="B139" s="17">
        <v>0</v>
      </c>
      <c r="D139" s="15">
        <v>0</v>
      </c>
      <c r="F139" s="7">
        <f t="shared" si="33"/>
        <v>0</v>
      </c>
      <c r="G139" s="7">
        <f t="shared" si="34"/>
        <v>0</v>
      </c>
      <c r="H139" s="7">
        <f t="shared" si="35"/>
        <v>0</v>
      </c>
      <c r="I139" s="7">
        <f t="shared" si="36"/>
        <v>0</v>
      </c>
    </row>
    <row r="140" spans="1:9" ht="16.5" thickBot="1" x14ac:dyDescent="0.3">
      <c r="A140" s="3"/>
      <c r="B140" s="17">
        <v>0</v>
      </c>
      <c r="D140" s="15">
        <v>0</v>
      </c>
      <c r="F140" s="7">
        <f t="shared" ref="F140" si="37">D140/12</f>
        <v>0</v>
      </c>
      <c r="G140" s="7">
        <f t="shared" ref="G140" si="38">D140/4</f>
        <v>0</v>
      </c>
      <c r="H140" s="7">
        <f t="shared" ref="H140" si="39">D140/4</f>
        <v>0</v>
      </c>
      <c r="I140" s="7">
        <f t="shared" ref="I140" si="40">D140</f>
        <v>0</v>
      </c>
    </row>
    <row r="141" spans="1:9" ht="16.5" thickBot="1" x14ac:dyDescent="0.3">
      <c r="A141" s="3"/>
      <c r="B141" s="17">
        <v>0</v>
      </c>
      <c r="D141" s="15">
        <v>0</v>
      </c>
      <c r="F141" s="7">
        <f t="shared" si="33"/>
        <v>0</v>
      </c>
      <c r="G141" s="7">
        <f t="shared" si="34"/>
        <v>0</v>
      </c>
      <c r="H141" s="7">
        <f t="shared" si="35"/>
        <v>0</v>
      </c>
      <c r="I141" s="7">
        <f t="shared" si="36"/>
        <v>0</v>
      </c>
    </row>
    <row r="142" spans="1:9" ht="16.5" thickBot="1" x14ac:dyDescent="0.3">
      <c r="A142" s="3"/>
      <c r="B142" s="17">
        <v>0</v>
      </c>
      <c r="D142" s="15">
        <v>0</v>
      </c>
      <c r="F142" s="7">
        <f t="shared" si="33"/>
        <v>0</v>
      </c>
      <c r="G142" s="7">
        <f t="shared" si="34"/>
        <v>0</v>
      </c>
      <c r="H142" s="7">
        <f t="shared" si="35"/>
        <v>0</v>
      </c>
      <c r="I142" s="7">
        <f t="shared" si="36"/>
        <v>0</v>
      </c>
    </row>
    <row r="143" spans="1:9" ht="16.5" thickBot="1" x14ac:dyDescent="0.3">
      <c r="A143" s="3"/>
      <c r="B143" s="17">
        <v>0</v>
      </c>
      <c r="D143" s="15">
        <v>0</v>
      </c>
      <c r="F143" s="7">
        <f t="shared" si="33"/>
        <v>0</v>
      </c>
      <c r="G143" s="7">
        <f t="shared" si="34"/>
        <v>0</v>
      </c>
      <c r="H143" s="7">
        <f t="shared" si="35"/>
        <v>0</v>
      </c>
      <c r="I143" s="7">
        <f t="shared" si="36"/>
        <v>0</v>
      </c>
    </row>
    <row r="144" spans="1:9" ht="16.5" thickBot="1" x14ac:dyDescent="0.3">
      <c r="A144" s="3"/>
      <c r="B144" s="17">
        <v>0</v>
      </c>
      <c r="D144" s="15">
        <v>0</v>
      </c>
      <c r="F144" s="7">
        <f t="shared" si="33"/>
        <v>0</v>
      </c>
      <c r="G144" s="7">
        <f t="shared" si="34"/>
        <v>0</v>
      </c>
      <c r="H144" s="7">
        <f t="shared" si="35"/>
        <v>0</v>
      </c>
      <c r="I144" s="7">
        <f t="shared" si="36"/>
        <v>0</v>
      </c>
    </row>
    <row r="147" spans="1:2" ht="16.5" thickBot="1" x14ac:dyDescent="0.3">
      <c r="A147" s="11" t="s">
        <v>73</v>
      </c>
    </row>
    <row r="148" spans="1:2" ht="16.5" thickBot="1" x14ac:dyDescent="0.3">
      <c r="A148" s="1" t="s">
        <v>74</v>
      </c>
      <c r="B148" s="14">
        <v>0.25</v>
      </c>
    </row>
    <row r="149" spans="1:2" ht="16.5" thickBot="1" x14ac:dyDescent="0.3">
      <c r="A149" s="1" t="s">
        <v>75</v>
      </c>
      <c r="B149" s="14">
        <v>0.3</v>
      </c>
    </row>
  </sheetData>
  <mergeCells count="18">
    <mergeCell ref="B72:N72"/>
    <mergeCell ref="B77:N77"/>
    <mergeCell ref="B82:N82"/>
    <mergeCell ref="B87:N87"/>
    <mergeCell ref="B67:N67"/>
    <mergeCell ref="A2:N2"/>
    <mergeCell ref="A34:N34"/>
    <mergeCell ref="B35:N35"/>
    <mergeCell ref="B8:N8"/>
    <mergeCell ref="B13:N13"/>
    <mergeCell ref="B18:N18"/>
    <mergeCell ref="B23:N23"/>
    <mergeCell ref="A66:N66"/>
    <mergeCell ref="B45:N45"/>
    <mergeCell ref="B50:N50"/>
    <mergeCell ref="B55:N55"/>
    <mergeCell ref="B3:N3"/>
    <mergeCell ref="B40:N4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2"/>
  <sheetViews>
    <sheetView workbookViewId="0">
      <selection activeCell="B21" sqref="B21"/>
    </sheetView>
  </sheetViews>
  <sheetFormatPr defaultColWidth="9.140625" defaultRowHeight="15.75" x14ac:dyDescent="0.25"/>
  <cols>
    <col min="1" max="1" width="41.140625" style="1" bestFit="1" customWidth="1"/>
    <col min="2" max="2" width="15" style="1" bestFit="1" customWidth="1"/>
    <col min="3" max="16384" width="9.140625" style="1"/>
  </cols>
  <sheetData>
    <row r="1" spans="1:3" x14ac:dyDescent="0.25">
      <c r="A1" s="11" t="s">
        <v>76</v>
      </c>
    </row>
    <row r="2" spans="1:3" ht="16.5" thickBot="1" x14ac:dyDescent="0.3"/>
    <row r="3" spans="1:3" ht="16.5" thickBot="1" x14ac:dyDescent="0.3">
      <c r="A3" s="1" t="s">
        <v>77</v>
      </c>
      <c r="B3" s="18">
        <v>100000</v>
      </c>
      <c r="C3" s="1" t="s">
        <v>195</v>
      </c>
    </row>
    <row r="4" spans="1:3" ht="16.5" thickBot="1" x14ac:dyDescent="0.3"/>
    <row r="5" spans="1:3" ht="16.5" thickBot="1" x14ac:dyDescent="0.3">
      <c r="A5" s="1" t="s">
        <v>78</v>
      </c>
      <c r="B5" s="15">
        <v>0.5</v>
      </c>
    </row>
    <row r="6" spans="1:3" ht="16.5" thickBot="1" x14ac:dyDescent="0.3"/>
    <row r="7" spans="1:3" ht="16.5" thickBot="1" x14ac:dyDescent="0.3">
      <c r="A7" s="1" t="s">
        <v>79</v>
      </c>
      <c r="B7" s="15">
        <v>0.4</v>
      </c>
    </row>
    <row r="9" spans="1:3" x14ac:dyDescent="0.25">
      <c r="A9" s="19" t="s">
        <v>80</v>
      </c>
    </row>
    <row r="12" spans="1:3" x14ac:dyDescent="0.25">
      <c r="A12" s="11" t="s">
        <v>81</v>
      </c>
    </row>
    <row r="13" spans="1:3" ht="16.5" thickBot="1" x14ac:dyDescent="0.3"/>
    <row r="14" spans="1:3" ht="16.5" thickBot="1" x14ac:dyDescent="0.3">
      <c r="A14" s="1" t="s">
        <v>82</v>
      </c>
      <c r="B14" s="15">
        <v>0.6</v>
      </c>
    </row>
    <row r="17" spans="1:3" x14ac:dyDescent="0.25">
      <c r="A17" s="11" t="s">
        <v>83</v>
      </c>
    </row>
    <row r="18" spans="1:3" ht="16.5" thickBot="1" x14ac:dyDescent="0.3"/>
    <row r="19" spans="1:3" ht="16.5" thickBot="1" x14ac:dyDescent="0.3">
      <c r="A19" s="1" t="s">
        <v>196</v>
      </c>
      <c r="B19" s="18">
        <v>100000</v>
      </c>
      <c r="C19" s="1" t="s">
        <v>84</v>
      </c>
    </row>
    <row r="20" spans="1:3" ht="16.5" thickBot="1" x14ac:dyDescent="0.3">
      <c r="A20" s="1" t="s">
        <v>85</v>
      </c>
      <c r="B20" s="18">
        <v>675000</v>
      </c>
      <c r="C20" s="1" t="s">
        <v>86</v>
      </c>
    </row>
    <row r="21" spans="1:3" ht="16.5" thickBot="1" x14ac:dyDescent="0.3"/>
    <row r="22" spans="1:3" ht="16.5" thickBot="1" x14ac:dyDescent="0.3">
      <c r="A22" s="1" t="s">
        <v>87</v>
      </c>
      <c r="B22" s="15">
        <v>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0"/>
  <sheetViews>
    <sheetView topLeftCell="A18" workbookViewId="0">
      <selection activeCell="A27" sqref="A27:XFD27"/>
    </sheetView>
  </sheetViews>
  <sheetFormatPr defaultColWidth="9.140625" defaultRowHeight="15.75" x14ac:dyDescent="0.25"/>
  <cols>
    <col min="1" max="1" width="32.42578125" style="1" bestFit="1" customWidth="1"/>
    <col min="2" max="2" width="12.7109375" style="1" bestFit="1" customWidth="1"/>
    <col min="3" max="6" width="14" style="1" bestFit="1" customWidth="1"/>
    <col min="7" max="16384" width="9.140625" style="1"/>
  </cols>
  <sheetData>
    <row r="1" spans="1:7" ht="15.75" customHeight="1" x14ac:dyDescent="0.25">
      <c r="A1" s="121" t="s">
        <v>88</v>
      </c>
      <c r="B1" s="122"/>
      <c r="C1" s="122"/>
      <c r="D1" s="122"/>
      <c r="E1" s="122"/>
      <c r="F1" s="122"/>
      <c r="G1" s="123"/>
    </row>
    <row r="2" spans="1:7" x14ac:dyDescent="0.25">
      <c r="A2" s="124"/>
      <c r="B2" s="125"/>
      <c r="C2" s="125"/>
      <c r="D2" s="125"/>
      <c r="E2" s="125"/>
      <c r="F2" s="125"/>
      <c r="G2" s="126"/>
    </row>
    <row r="3" spans="1:7" x14ac:dyDescent="0.25">
      <c r="A3" s="124"/>
      <c r="B3" s="125"/>
      <c r="C3" s="125"/>
      <c r="D3" s="125"/>
      <c r="E3" s="125"/>
      <c r="F3" s="125"/>
      <c r="G3" s="126"/>
    </row>
    <row r="4" spans="1:7" x14ac:dyDescent="0.25">
      <c r="A4" s="124"/>
      <c r="B4" s="125"/>
      <c r="C4" s="125"/>
      <c r="D4" s="125"/>
      <c r="E4" s="125"/>
      <c r="F4" s="125"/>
      <c r="G4" s="126"/>
    </row>
    <row r="5" spans="1:7" ht="16.5" thickBot="1" x14ac:dyDescent="0.3">
      <c r="A5" s="127"/>
      <c r="B5" s="128"/>
      <c r="C5" s="128"/>
      <c r="D5" s="128"/>
      <c r="E5" s="128"/>
      <c r="F5" s="128"/>
      <c r="G5" s="129"/>
    </row>
    <row r="7" spans="1:7" x14ac:dyDescent="0.25">
      <c r="A7" s="11" t="s">
        <v>89</v>
      </c>
    </row>
    <row r="8" spans="1:7" x14ac:dyDescent="0.25">
      <c r="A8" s="11"/>
      <c r="B8" s="21" t="s">
        <v>9</v>
      </c>
      <c r="C8" s="21" t="s">
        <v>25</v>
      </c>
      <c r="D8" s="21" t="s">
        <v>26</v>
      </c>
      <c r="E8" s="21" t="s">
        <v>31</v>
      </c>
      <c r="F8" s="21" t="s">
        <v>32</v>
      </c>
    </row>
    <row r="9" spans="1:7" ht="16.5" thickBot="1" x14ac:dyDescent="0.3">
      <c r="A9" s="11" t="s">
        <v>90</v>
      </c>
      <c r="B9" s="23"/>
      <c r="C9" s="23"/>
      <c r="D9" s="23"/>
      <c r="E9" s="23"/>
      <c r="F9" s="23"/>
    </row>
    <row r="10" spans="1:7" ht="16.5" thickBot="1" x14ac:dyDescent="0.3">
      <c r="A10" s="1" t="s">
        <v>91</v>
      </c>
      <c r="B10" s="17">
        <v>10000</v>
      </c>
      <c r="C10" s="17">
        <v>0</v>
      </c>
      <c r="D10" s="17">
        <v>0</v>
      </c>
      <c r="E10" s="17">
        <v>10000</v>
      </c>
      <c r="F10" s="17">
        <v>0</v>
      </c>
    </row>
    <row r="11" spans="1:7" ht="16.5" thickBot="1" x14ac:dyDescent="0.3">
      <c r="A11" s="1" t="s">
        <v>92</v>
      </c>
      <c r="B11" s="17">
        <v>4000</v>
      </c>
      <c r="C11" s="17">
        <v>0</v>
      </c>
      <c r="D11" s="17">
        <v>4000</v>
      </c>
      <c r="E11" s="17">
        <v>0</v>
      </c>
      <c r="F11" s="17">
        <v>4000</v>
      </c>
    </row>
    <row r="12" spans="1:7" ht="16.5" thickBot="1" x14ac:dyDescent="0.3">
      <c r="A12" s="1" t="s">
        <v>93</v>
      </c>
      <c r="B12" s="17">
        <v>10000</v>
      </c>
      <c r="C12" s="17">
        <v>500</v>
      </c>
      <c r="D12" s="17">
        <v>500</v>
      </c>
      <c r="E12" s="17">
        <v>4000</v>
      </c>
      <c r="F12" s="17">
        <v>500</v>
      </c>
    </row>
    <row r="14" spans="1:7" ht="16.5" thickBot="1" x14ac:dyDescent="0.3">
      <c r="A14" s="11" t="s">
        <v>94</v>
      </c>
    </row>
    <row r="15" spans="1:7" ht="16.5" thickBot="1" x14ac:dyDescent="0.3">
      <c r="A15" s="1" t="s">
        <v>95</v>
      </c>
      <c r="B15" s="17">
        <v>0</v>
      </c>
      <c r="C15" s="17">
        <v>0</v>
      </c>
      <c r="D15" s="17">
        <v>0</v>
      </c>
      <c r="E15" s="17">
        <v>0</v>
      </c>
      <c r="F15" s="17">
        <v>0</v>
      </c>
    </row>
    <row r="16" spans="1:7" ht="16.5" thickBot="1" x14ac:dyDescent="0.3">
      <c r="A16" s="1" t="s">
        <v>96</v>
      </c>
      <c r="B16" s="17">
        <v>10000</v>
      </c>
      <c r="C16" s="17">
        <v>0</v>
      </c>
      <c r="D16" s="17">
        <v>0</v>
      </c>
      <c r="E16" s="17">
        <v>0</v>
      </c>
      <c r="F16" s="17">
        <v>0</v>
      </c>
    </row>
    <row r="17" spans="1:6" ht="16.5" thickBot="1" x14ac:dyDescent="0.3">
      <c r="A17" s="1" t="s">
        <v>97</v>
      </c>
      <c r="B17" s="17">
        <v>0</v>
      </c>
      <c r="C17" s="17">
        <v>0</v>
      </c>
      <c r="D17" s="17">
        <v>0</v>
      </c>
      <c r="E17" s="17">
        <v>0</v>
      </c>
      <c r="F17" s="17">
        <v>0</v>
      </c>
    </row>
    <row r="19" spans="1:6" ht="16.5" thickBot="1" x14ac:dyDescent="0.3">
      <c r="A19" s="11" t="s">
        <v>7</v>
      </c>
    </row>
    <row r="20" spans="1:6" ht="16.5" thickBot="1" x14ac:dyDescent="0.3">
      <c r="A20" s="1" t="s">
        <v>98</v>
      </c>
      <c r="B20" s="17">
        <v>15000</v>
      </c>
      <c r="C20" s="17">
        <v>2000</v>
      </c>
      <c r="D20" s="17">
        <v>0</v>
      </c>
      <c r="E20" s="17">
        <v>2000</v>
      </c>
      <c r="F20" s="17">
        <v>0</v>
      </c>
    </row>
    <row r="21" spans="1:6" ht="16.5" thickBot="1" x14ac:dyDescent="0.3">
      <c r="A21" s="1" t="s">
        <v>99</v>
      </c>
      <c r="B21" s="17">
        <v>0</v>
      </c>
      <c r="C21" s="17">
        <v>0</v>
      </c>
      <c r="D21" s="17">
        <v>0</v>
      </c>
      <c r="E21" s="17">
        <v>0</v>
      </c>
      <c r="F21" s="17">
        <v>0</v>
      </c>
    </row>
    <row r="23" spans="1:6" ht="16.5" thickBot="1" x14ac:dyDescent="0.3">
      <c r="A23" s="1" t="s">
        <v>100</v>
      </c>
      <c r="B23" s="24">
        <f>SUM(B10:B22)</f>
        <v>49000</v>
      </c>
      <c r="C23" s="24">
        <f t="shared" ref="C23:F23" si="0">SUM(C10:C22)</f>
        <v>2500</v>
      </c>
      <c r="D23" s="24">
        <f t="shared" si="0"/>
        <v>4500</v>
      </c>
      <c r="E23" s="24">
        <f t="shared" si="0"/>
        <v>16000</v>
      </c>
      <c r="F23" s="24">
        <f t="shared" si="0"/>
        <v>4500</v>
      </c>
    </row>
    <row r="24" spans="1:6" ht="16.5" thickTop="1" x14ac:dyDescent="0.25"/>
    <row r="25" spans="1:6" x14ac:dyDescent="0.25">
      <c r="A25" s="1" t="s">
        <v>101</v>
      </c>
      <c r="B25" s="26">
        <f>B23</f>
        <v>49000</v>
      </c>
      <c r="C25" s="26">
        <f>C23+B25</f>
        <v>51500</v>
      </c>
      <c r="D25" s="26">
        <f t="shared" ref="D25:F25" si="1">D23+C25</f>
        <v>56000</v>
      </c>
      <c r="E25" s="26">
        <f t="shared" si="1"/>
        <v>72000</v>
      </c>
      <c r="F25" s="26">
        <f t="shared" si="1"/>
        <v>76500</v>
      </c>
    </row>
    <row r="26" spans="1:6" ht="16.5" thickBot="1" x14ac:dyDescent="0.3"/>
    <row r="27" spans="1:6" ht="16.5" thickBot="1" x14ac:dyDescent="0.3">
      <c r="A27" s="1" t="s">
        <v>102</v>
      </c>
      <c r="B27" s="25">
        <v>5</v>
      </c>
      <c r="C27" s="25">
        <v>5</v>
      </c>
      <c r="D27" s="25">
        <v>5</v>
      </c>
      <c r="E27" s="25">
        <f t="shared" ref="E27:F27" si="2">D27</f>
        <v>5</v>
      </c>
      <c r="F27" s="25">
        <f t="shared" si="2"/>
        <v>5</v>
      </c>
    </row>
    <row r="29" spans="1:6" ht="16.5" thickBot="1" x14ac:dyDescent="0.3">
      <c r="A29" s="1" t="s">
        <v>103</v>
      </c>
      <c r="B29" s="27">
        <f>B25/B27</f>
        <v>9800</v>
      </c>
      <c r="C29" s="27">
        <f t="shared" ref="C29:F29" si="3">C25/C27</f>
        <v>10300</v>
      </c>
      <c r="D29" s="27">
        <f t="shared" si="3"/>
        <v>11200</v>
      </c>
      <c r="E29" s="27">
        <f t="shared" si="3"/>
        <v>14400</v>
      </c>
      <c r="F29" s="27">
        <f t="shared" si="3"/>
        <v>15300</v>
      </c>
    </row>
    <row r="30" spans="1:6" ht="16.5" thickTop="1" x14ac:dyDescent="0.25"/>
    <row r="31" spans="1:6" ht="16.5" thickBot="1" x14ac:dyDescent="0.3">
      <c r="A31" s="1" t="s">
        <v>104</v>
      </c>
      <c r="B31" s="24">
        <f>ROUND(B29/12,0)</f>
        <v>817</v>
      </c>
      <c r="C31" s="24">
        <f t="shared" ref="C31" si="4">ROUND(C29/12,0)</f>
        <v>858</v>
      </c>
      <c r="D31" s="24">
        <f>ROUND(D29/4,0)</f>
        <v>2800</v>
      </c>
      <c r="E31" s="24">
        <f>ROUND(E29/4,0)</f>
        <v>3600</v>
      </c>
      <c r="F31" s="24">
        <f>ROUND(F29,0)</f>
        <v>15300</v>
      </c>
    </row>
    <row r="32" spans="1:6" ht="16.5" thickTop="1" x14ac:dyDescent="0.25"/>
    <row r="35" spans="1:6" x14ac:dyDescent="0.25">
      <c r="A35" s="11" t="s">
        <v>105</v>
      </c>
    </row>
    <row r="36" spans="1:6" ht="16.5" thickBot="1" x14ac:dyDescent="0.3">
      <c r="A36" s="11"/>
      <c r="B36" s="21" t="s">
        <v>9</v>
      </c>
      <c r="C36" s="21" t="s">
        <v>25</v>
      </c>
      <c r="D36" s="21" t="s">
        <v>26</v>
      </c>
      <c r="E36" s="21" t="s">
        <v>31</v>
      </c>
      <c r="F36" s="21" t="s">
        <v>32</v>
      </c>
    </row>
    <row r="37" spans="1:6" ht="16.5" thickBot="1" x14ac:dyDescent="0.3">
      <c r="A37" s="1" t="s">
        <v>106</v>
      </c>
      <c r="B37" s="17">
        <v>20000</v>
      </c>
      <c r="C37" s="17">
        <v>0</v>
      </c>
      <c r="D37" s="17">
        <v>0</v>
      </c>
      <c r="E37" s="17">
        <v>0</v>
      </c>
      <c r="F37" s="17">
        <v>0</v>
      </c>
    </row>
    <row r="38" spans="1:6" ht="16.5" thickBot="1" x14ac:dyDescent="0.3">
      <c r="A38" s="1" t="s">
        <v>107</v>
      </c>
      <c r="B38" s="17"/>
      <c r="C38" s="17">
        <v>0</v>
      </c>
      <c r="D38" s="17">
        <v>0</v>
      </c>
      <c r="E38" s="17">
        <v>0</v>
      </c>
      <c r="F38" s="17">
        <v>0</v>
      </c>
    </row>
    <row r="39" spans="1:6" ht="16.5" thickBot="1" x14ac:dyDescent="0.3">
      <c r="A39" s="1" t="s">
        <v>108</v>
      </c>
      <c r="B39" s="17">
        <v>0</v>
      </c>
      <c r="C39" s="17">
        <v>0</v>
      </c>
      <c r="D39" s="17">
        <v>0</v>
      </c>
      <c r="E39" s="17">
        <v>0</v>
      </c>
      <c r="F39" s="17">
        <v>0</v>
      </c>
    </row>
    <row r="41" spans="1:6" ht="16.5" thickBot="1" x14ac:dyDescent="0.3">
      <c r="A41" s="1" t="s">
        <v>109</v>
      </c>
      <c r="B41" s="24">
        <f>SUM(B37:B40)</f>
        <v>20000</v>
      </c>
      <c r="C41" s="24">
        <f t="shared" ref="C41:F41" si="5">SUM(C37:C40)</f>
        <v>0</v>
      </c>
      <c r="D41" s="24">
        <f t="shared" si="5"/>
        <v>0</v>
      </c>
      <c r="E41" s="24">
        <f t="shared" si="5"/>
        <v>0</v>
      </c>
      <c r="F41" s="24">
        <f t="shared" si="5"/>
        <v>0</v>
      </c>
    </row>
    <row r="42" spans="1:6" ht="16.5" thickTop="1" x14ac:dyDescent="0.25"/>
    <row r="43" spans="1:6" x14ac:dyDescent="0.25">
      <c r="A43" s="1" t="s">
        <v>101</v>
      </c>
      <c r="B43" s="26">
        <f>B41</f>
        <v>20000</v>
      </c>
      <c r="C43" s="26">
        <f>C41+B43</f>
        <v>20000</v>
      </c>
      <c r="D43" s="26">
        <f t="shared" ref="D43:F43" si="6">D41+C43</f>
        <v>20000</v>
      </c>
      <c r="E43" s="26">
        <f t="shared" si="6"/>
        <v>20000</v>
      </c>
      <c r="F43" s="26">
        <f t="shared" si="6"/>
        <v>20000</v>
      </c>
    </row>
    <row r="44" spans="1:6" ht="16.5" thickBot="1" x14ac:dyDescent="0.3"/>
    <row r="45" spans="1:6" ht="16.5" thickBot="1" x14ac:dyDescent="0.3">
      <c r="A45" s="1" t="s">
        <v>102</v>
      </c>
      <c r="B45" s="25">
        <v>20</v>
      </c>
      <c r="C45" s="25">
        <v>20</v>
      </c>
      <c r="D45" s="25">
        <v>20</v>
      </c>
      <c r="E45" s="25">
        <v>20</v>
      </c>
      <c r="F45" s="25">
        <f t="shared" ref="F45" si="7">E45</f>
        <v>20</v>
      </c>
    </row>
    <row r="47" spans="1:6" ht="16.5" thickBot="1" x14ac:dyDescent="0.3">
      <c r="A47" s="1" t="s">
        <v>103</v>
      </c>
      <c r="B47" s="27">
        <f>B43/B45</f>
        <v>1000</v>
      </c>
      <c r="C47" s="27">
        <f t="shared" ref="C47:F47" si="8">C43/C45</f>
        <v>1000</v>
      </c>
      <c r="D47" s="27">
        <f t="shared" si="8"/>
        <v>1000</v>
      </c>
      <c r="E47" s="27">
        <f t="shared" si="8"/>
        <v>1000</v>
      </c>
      <c r="F47" s="27">
        <f t="shared" si="8"/>
        <v>1000</v>
      </c>
    </row>
    <row r="48" spans="1:6" ht="16.5" thickTop="1" x14ac:dyDescent="0.25"/>
    <row r="49" spans="1:6" ht="16.5" thickBot="1" x14ac:dyDescent="0.3">
      <c r="A49" s="1" t="s">
        <v>104</v>
      </c>
      <c r="B49" s="24">
        <f>ROUND(B47/12,0)</f>
        <v>83</v>
      </c>
      <c r="C49" s="24">
        <f t="shared" ref="C49" si="9">ROUND(C47/12,0)</f>
        <v>83</v>
      </c>
      <c r="D49" s="24">
        <f>ROUND(D47/4,0)</f>
        <v>250</v>
      </c>
      <c r="E49" s="24">
        <f>ROUND(E47/4,0)</f>
        <v>250</v>
      </c>
      <c r="F49" s="24">
        <f>ROUND(F47,0)</f>
        <v>1000</v>
      </c>
    </row>
    <row r="50" spans="1:6" ht="16.5" thickTop="1" x14ac:dyDescent="0.25"/>
  </sheetData>
  <mergeCells count="1">
    <mergeCell ref="A1:G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L70"/>
  <sheetViews>
    <sheetView zoomScale="90" zoomScaleNormal="90" workbookViewId="0">
      <pane xSplit="1" ySplit="5" topLeftCell="V44" activePane="bottomRight" state="frozen"/>
      <selection pane="topRight" activeCell="B1" sqref="B1"/>
      <selection pane="bottomLeft" activeCell="A6" sqref="A6"/>
      <selection pane="bottomRight" activeCell="AF65" sqref="AF65"/>
    </sheetView>
  </sheetViews>
  <sheetFormatPr defaultColWidth="9.140625" defaultRowHeight="15.75" x14ac:dyDescent="0.25"/>
  <cols>
    <col min="1" max="1" width="41.5703125" style="1" bestFit="1" customWidth="1"/>
    <col min="2" max="2" width="11.7109375" style="1" bestFit="1" customWidth="1"/>
    <col min="3" max="3" width="12.140625" style="1" bestFit="1" customWidth="1"/>
    <col min="4" max="6" width="11.7109375" style="1" bestFit="1" customWidth="1"/>
    <col min="7" max="7" width="13.5703125" style="1" bestFit="1" customWidth="1"/>
    <col min="8" max="9" width="12.7109375" style="1" bestFit="1" customWidth="1"/>
    <col min="10" max="10" width="13.85546875" style="1" bestFit="1" customWidth="1"/>
    <col min="11" max="11" width="12.7109375" style="1" bestFit="1" customWidth="1"/>
    <col min="12" max="12" width="13.42578125" style="1" bestFit="1" customWidth="1"/>
    <col min="13" max="13" width="13.140625" style="1" bestFit="1" customWidth="1"/>
    <col min="14" max="18" width="12.7109375" style="1" bestFit="1" customWidth="1"/>
    <col min="19" max="38" width="14" style="1" bestFit="1" customWidth="1"/>
    <col min="39" max="16384" width="9.140625" style="1"/>
  </cols>
  <sheetData>
    <row r="1" spans="1:38" s="29" customFormat="1" ht="18.75" x14ac:dyDescent="0.3">
      <c r="B1" s="130" t="s">
        <v>110</v>
      </c>
      <c r="C1" s="130"/>
      <c r="D1" s="130"/>
      <c r="E1" s="130"/>
      <c r="F1" s="130"/>
      <c r="G1" s="130"/>
      <c r="H1" s="130"/>
      <c r="I1" s="130"/>
      <c r="J1" s="130"/>
      <c r="K1" s="130"/>
      <c r="L1" s="130"/>
      <c r="M1" s="130"/>
      <c r="N1" s="130"/>
      <c r="O1" s="130" t="str">
        <f>B1</f>
        <v>Company Name</v>
      </c>
      <c r="P1" s="130"/>
      <c r="Q1" s="130"/>
      <c r="R1" s="130"/>
      <c r="S1" s="130"/>
      <c r="T1" s="130"/>
      <c r="U1" s="130"/>
      <c r="V1" s="130"/>
      <c r="W1" s="130"/>
      <c r="X1" s="130"/>
      <c r="Y1" s="130"/>
      <c r="Z1" s="130"/>
      <c r="AA1" s="130"/>
      <c r="AB1" s="130" t="str">
        <f>O1</f>
        <v>Company Name</v>
      </c>
      <c r="AC1" s="130"/>
      <c r="AD1" s="130"/>
      <c r="AE1" s="130"/>
      <c r="AF1" s="130"/>
      <c r="AG1" s="130"/>
      <c r="AH1" s="130"/>
      <c r="AI1" s="130"/>
      <c r="AJ1" s="130"/>
      <c r="AK1" s="130"/>
      <c r="AL1" s="130"/>
    </row>
    <row r="2" spans="1:38" s="29" customFormat="1" ht="18.75" x14ac:dyDescent="0.3">
      <c r="B2" s="118" t="s">
        <v>111</v>
      </c>
      <c r="C2" s="118"/>
      <c r="D2" s="118"/>
      <c r="E2" s="118"/>
      <c r="F2" s="118"/>
      <c r="G2" s="118"/>
      <c r="H2" s="118"/>
      <c r="I2" s="118"/>
      <c r="J2" s="118"/>
      <c r="K2" s="118"/>
      <c r="L2" s="118"/>
      <c r="M2" s="118"/>
      <c r="N2" s="118"/>
      <c r="O2" s="118" t="s">
        <v>111</v>
      </c>
      <c r="P2" s="118"/>
      <c r="Q2" s="118"/>
      <c r="R2" s="118"/>
      <c r="S2" s="118"/>
      <c r="T2" s="118"/>
      <c r="U2" s="118"/>
      <c r="V2" s="118"/>
      <c r="W2" s="118"/>
      <c r="X2" s="118"/>
      <c r="Y2" s="118"/>
      <c r="Z2" s="118"/>
      <c r="AA2" s="118"/>
      <c r="AB2" s="118" t="s">
        <v>111</v>
      </c>
      <c r="AC2" s="118"/>
      <c r="AD2" s="118"/>
      <c r="AE2" s="118"/>
      <c r="AF2" s="118"/>
      <c r="AG2" s="118"/>
      <c r="AH2" s="118"/>
      <c r="AI2" s="118"/>
      <c r="AJ2" s="118"/>
      <c r="AK2" s="118"/>
      <c r="AL2" s="118"/>
    </row>
    <row r="3" spans="1:38" s="29" customFormat="1" ht="18.75" x14ac:dyDescent="0.3"/>
    <row r="4" spans="1:38" s="78" customFormat="1" ht="18.75" x14ac:dyDescent="0.3">
      <c r="B4" s="130" t="s">
        <v>9</v>
      </c>
      <c r="C4" s="130"/>
      <c r="D4" s="130"/>
      <c r="E4" s="130"/>
      <c r="F4" s="130"/>
      <c r="G4" s="130"/>
      <c r="H4" s="130"/>
      <c r="I4" s="130"/>
      <c r="J4" s="130"/>
      <c r="K4" s="130"/>
      <c r="L4" s="130"/>
      <c r="M4" s="130"/>
      <c r="N4" s="130"/>
      <c r="O4" s="130" t="s">
        <v>25</v>
      </c>
      <c r="P4" s="130"/>
      <c r="Q4" s="130"/>
      <c r="R4" s="130"/>
      <c r="S4" s="130"/>
      <c r="T4" s="130"/>
      <c r="U4" s="130"/>
      <c r="V4" s="130"/>
      <c r="W4" s="130"/>
      <c r="X4" s="130"/>
      <c r="Y4" s="130"/>
      <c r="Z4" s="130"/>
      <c r="AA4" s="130"/>
      <c r="AB4" s="130" t="s">
        <v>26</v>
      </c>
      <c r="AC4" s="130"/>
      <c r="AD4" s="130"/>
      <c r="AE4" s="130"/>
      <c r="AF4" s="130"/>
      <c r="AG4" s="131" t="s">
        <v>112</v>
      </c>
      <c r="AH4" s="130"/>
      <c r="AI4" s="130"/>
      <c r="AJ4" s="130"/>
      <c r="AK4" s="132"/>
      <c r="AL4" s="79" t="s">
        <v>32</v>
      </c>
    </row>
    <row r="5" spans="1:38" s="32" customFormat="1" ht="18.75" x14ac:dyDescent="0.3">
      <c r="A5" s="31" t="s">
        <v>113</v>
      </c>
      <c r="B5" s="28" t="s">
        <v>10</v>
      </c>
      <c r="C5" s="28" t="s">
        <v>11</v>
      </c>
      <c r="D5" s="28" t="s">
        <v>12</v>
      </c>
      <c r="E5" s="28" t="s">
        <v>13</v>
      </c>
      <c r="F5" s="28" t="s">
        <v>14</v>
      </c>
      <c r="G5" s="28" t="s">
        <v>15</v>
      </c>
      <c r="H5" s="28" t="s">
        <v>16</v>
      </c>
      <c r="I5" s="28" t="s">
        <v>17</v>
      </c>
      <c r="J5" s="28" t="s">
        <v>18</v>
      </c>
      <c r="K5" s="28" t="s">
        <v>19</v>
      </c>
      <c r="L5" s="28" t="s">
        <v>20</v>
      </c>
      <c r="M5" s="28" t="s">
        <v>21</v>
      </c>
      <c r="N5" s="28" t="s">
        <v>22</v>
      </c>
      <c r="O5" s="28" t="s">
        <v>10</v>
      </c>
      <c r="P5" s="28" t="s">
        <v>11</v>
      </c>
      <c r="Q5" s="28" t="s">
        <v>12</v>
      </c>
      <c r="R5" s="28" t="s">
        <v>13</v>
      </c>
      <c r="S5" s="28" t="s">
        <v>14</v>
      </c>
      <c r="T5" s="28" t="s">
        <v>15</v>
      </c>
      <c r="U5" s="28" t="s">
        <v>16</v>
      </c>
      <c r="V5" s="28" t="s">
        <v>17</v>
      </c>
      <c r="W5" s="28" t="s">
        <v>18</v>
      </c>
      <c r="X5" s="28" t="s">
        <v>19</v>
      </c>
      <c r="Y5" s="28" t="s">
        <v>20</v>
      </c>
      <c r="Z5" s="28" t="s">
        <v>21</v>
      </c>
      <c r="AA5" s="28" t="s">
        <v>22</v>
      </c>
      <c r="AB5" s="28" t="s">
        <v>27</v>
      </c>
      <c r="AC5" s="28" t="s">
        <v>28</v>
      </c>
      <c r="AD5" s="28" t="s">
        <v>29</v>
      </c>
      <c r="AE5" s="28" t="s">
        <v>30</v>
      </c>
      <c r="AF5" s="28" t="s">
        <v>22</v>
      </c>
      <c r="AG5" s="53" t="s">
        <v>27</v>
      </c>
      <c r="AH5" s="28" t="s">
        <v>28</v>
      </c>
      <c r="AI5" s="28" t="s">
        <v>29</v>
      </c>
      <c r="AJ5" s="28" t="s">
        <v>30</v>
      </c>
      <c r="AK5" s="67" t="s">
        <v>22</v>
      </c>
      <c r="AL5" s="28" t="s">
        <v>22</v>
      </c>
    </row>
    <row r="6" spans="1:38" s="38" customFormat="1" x14ac:dyDescent="0.25">
      <c r="A6" s="38" t="s">
        <v>114</v>
      </c>
      <c r="B6" s="38">
        <f>'Income Statement Assumptions'!B5*'Income Statement Assumptions'!B6</f>
        <v>0</v>
      </c>
      <c r="C6" s="38">
        <f>'Income Statement Assumptions'!C5*'Income Statement Assumptions'!C6</f>
        <v>0</v>
      </c>
      <c r="D6" s="38">
        <f>'Income Statement Assumptions'!D5*'Income Statement Assumptions'!D6</f>
        <v>0</v>
      </c>
      <c r="E6" s="38">
        <f>'Income Statement Assumptions'!E5*'Income Statement Assumptions'!E6</f>
        <v>0</v>
      </c>
      <c r="F6" s="38">
        <f>'Income Statement Assumptions'!F5*'Income Statement Assumptions'!F6</f>
        <v>0</v>
      </c>
      <c r="G6" s="38">
        <f>'Income Statement Assumptions'!G5*'Income Statement Assumptions'!G6</f>
        <v>0</v>
      </c>
      <c r="H6" s="38">
        <f>'Income Statement Assumptions'!H5*'Income Statement Assumptions'!H6</f>
        <v>2000</v>
      </c>
      <c r="I6" s="38">
        <f>'Income Statement Assumptions'!I5*'Income Statement Assumptions'!I6</f>
        <v>3000</v>
      </c>
      <c r="J6" s="38">
        <f>'Income Statement Assumptions'!J5*'Income Statement Assumptions'!J6</f>
        <v>5000</v>
      </c>
      <c r="K6" s="38">
        <f>'Income Statement Assumptions'!K5*'Income Statement Assumptions'!K6</f>
        <v>6000</v>
      </c>
      <c r="L6" s="38">
        <f>'Income Statement Assumptions'!L5*'Income Statement Assumptions'!L6</f>
        <v>8000</v>
      </c>
      <c r="M6" s="38">
        <f>'Income Statement Assumptions'!M5*'Income Statement Assumptions'!M6</f>
        <v>10000</v>
      </c>
      <c r="N6" s="38">
        <f>SUM(B6:M6)</f>
        <v>34000</v>
      </c>
      <c r="O6" s="38">
        <f>'Income Statement Assumptions'!B11*'Income Statement Assumptions'!B10</f>
        <v>11260</v>
      </c>
      <c r="P6" s="38">
        <f>'Income Statement Assumptions'!C11*'Income Statement Assumptions'!C10</f>
        <v>12660</v>
      </c>
      <c r="Q6" s="38">
        <f>'Income Statement Assumptions'!D11*'Income Statement Assumptions'!D10</f>
        <v>14240</v>
      </c>
      <c r="R6" s="38">
        <f>'Income Statement Assumptions'!E11*'Income Statement Assumptions'!E10</f>
        <v>16020</v>
      </c>
      <c r="S6" s="38">
        <f>'Income Statement Assumptions'!F11*'Income Statement Assumptions'!F10</f>
        <v>18020</v>
      </c>
      <c r="T6" s="38">
        <f>'Income Statement Assumptions'!G11*'Income Statement Assumptions'!G10</f>
        <v>20280</v>
      </c>
      <c r="U6" s="38">
        <f>'Income Statement Assumptions'!H11*'Income Statement Assumptions'!H10</f>
        <v>22820</v>
      </c>
      <c r="V6" s="38">
        <f>'Income Statement Assumptions'!I11*'Income Statement Assumptions'!I10</f>
        <v>25680</v>
      </c>
      <c r="W6" s="38">
        <f>'Income Statement Assumptions'!J11*'Income Statement Assumptions'!J10</f>
        <v>28900</v>
      </c>
      <c r="X6" s="38">
        <f>'Income Statement Assumptions'!K11*'Income Statement Assumptions'!K10</f>
        <v>32520</v>
      </c>
      <c r="Y6" s="38">
        <f>'Income Statement Assumptions'!L11*'Income Statement Assumptions'!L10</f>
        <v>36580</v>
      </c>
      <c r="Z6" s="38">
        <f>'Income Statement Assumptions'!M11*'Income Statement Assumptions'!M10</f>
        <v>41160</v>
      </c>
      <c r="AA6" s="38">
        <f>SUM(O6:Z6)</f>
        <v>280140</v>
      </c>
      <c r="AB6" s="38">
        <f>'Income Statement Assumptions'!D15*'Income Statement Assumptions'!D16</f>
        <v>151602</v>
      </c>
      <c r="AC6" s="38">
        <f>'Income Statement Assumptions'!G15*'Income Statement Assumptions'!G16</f>
        <v>189508</v>
      </c>
      <c r="AD6" s="38">
        <f>'Income Statement Assumptions'!J15*'Income Statement Assumptions'!J16</f>
        <v>236896</v>
      </c>
      <c r="AE6" s="38">
        <f>'Income Statement Assumptions'!M15*'Income Statement Assumptions'!M16</f>
        <v>296120</v>
      </c>
      <c r="AF6" s="38">
        <f>SUM(AB6:AE6)</f>
        <v>874126</v>
      </c>
      <c r="AG6" s="54">
        <f>'Income Statement Assumptions'!D20*'Income Statement Assumptions'!D21</f>
        <v>371496</v>
      </c>
      <c r="AH6" s="38">
        <f>'Income Statement Assumptions'!G20*'Income Statement Assumptions'!G21</f>
        <v>427224</v>
      </c>
      <c r="AI6" s="38">
        <f>'Income Statement Assumptions'!J20*'Income Statement Assumptions'!J21</f>
        <v>491304</v>
      </c>
      <c r="AJ6" s="38">
        <f>'Income Statement Assumptions'!M20*'Income Statement Assumptions'!M21</f>
        <v>565008</v>
      </c>
      <c r="AK6" s="68">
        <f>SUM(AG6:AJ6)</f>
        <v>1855032</v>
      </c>
      <c r="AL6" s="38">
        <f>'Income Statement Assumptions'!M25*'Income Statement Assumptions'!N26</f>
        <v>2512025</v>
      </c>
    </row>
    <row r="7" spans="1:38" x14ac:dyDescent="0.25">
      <c r="A7" s="1" t="s">
        <v>115</v>
      </c>
      <c r="B7" s="43">
        <f>'Income Statement Assumptions'!B37*'Income Statement Assumptions'!B38</f>
        <v>0</v>
      </c>
      <c r="C7" s="43">
        <f>'Income Statement Assumptions'!C37*'Income Statement Assumptions'!C38</f>
        <v>0</v>
      </c>
      <c r="D7" s="43">
        <f>'Income Statement Assumptions'!D37*'Income Statement Assumptions'!D38</f>
        <v>0</v>
      </c>
      <c r="E7" s="43">
        <f>'Income Statement Assumptions'!E37*'Income Statement Assumptions'!E38</f>
        <v>0</v>
      </c>
      <c r="F7" s="43">
        <f>'Income Statement Assumptions'!F37*'Income Statement Assumptions'!F38</f>
        <v>0</v>
      </c>
      <c r="G7" s="43">
        <f>'Income Statement Assumptions'!G37*'Income Statement Assumptions'!G38</f>
        <v>0</v>
      </c>
      <c r="H7" s="43">
        <f>'Income Statement Assumptions'!H37*'Income Statement Assumptions'!H38</f>
        <v>20000</v>
      </c>
      <c r="I7" s="43">
        <f>'Income Statement Assumptions'!I37*'Income Statement Assumptions'!I38</f>
        <v>20000</v>
      </c>
      <c r="J7" s="43">
        <f>'Income Statement Assumptions'!J37*'Income Statement Assumptions'!J38</f>
        <v>25000</v>
      </c>
      <c r="K7" s="43">
        <f>'Income Statement Assumptions'!K37*'Income Statement Assumptions'!K38</f>
        <v>30000</v>
      </c>
      <c r="L7" s="43">
        <f>'Income Statement Assumptions'!L37*'Income Statement Assumptions'!L38</f>
        <v>30000</v>
      </c>
      <c r="M7" s="43">
        <f>'Income Statement Assumptions'!M37*'Income Statement Assumptions'!M38</f>
        <v>35000</v>
      </c>
      <c r="N7" s="43">
        <f t="shared" ref="N7:N8" si="0">SUM(B7:M7)</f>
        <v>160000</v>
      </c>
      <c r="O7" s="43">
        <f>'Income Statement Assumptions'!B43*'Income Statement Assumptions'!B42</f>
        <v>39380</v>
      </c>
      <c r="P7" s="43">
        <f>'Income Statement Assumptions'!C43*'Income Statement Assumptions'!C42</f>
        <v>44300</v>
      </c>
      <c r="Q7" s="43">
        <f>'Income Statement Assumptions'!D43*'Income Statement Assumptions'!D42</f>
        <v>49840</v>
      </c>
      <c r="R7" s="43">
        <f>'Income Statement Assumptions'!E43*'Income Statement Assumptions'!E42</f>
        <v>56070</v>
      </c>
      <c r="S7" s="43">
        <f>'Income Statement Assumptions'!F43*'Income Statement Assumptions'!F42</f>
        <v>63080</v>
      </c>
      <c r="T7" s="43">
        <f>'Income Statement Assumptions'!G43*'Income Statement Assumptions'!G42</f>
        <v>70970</v>
      </c>
      <c r="U7" s="43">
        <f>'Income Statement Assumptions'!H43*'Income Statement Assumptions'!H42</f>
        <v>79840</v>
      </c>
      <c r="V7" s="43">
        <f>'Income Statement Assumptions'!I43*'Income Statement Assumptions'!I42</f>
        <v>89820</v>
      </c>
      <c r="W7" s="43">
        <f>'Income Statement Assumptions'!J43*'Income Statement Assumptions'!J42</f>
        <v>101050</v>
      </c>
      <c r="X7" s="43">
        <f>'Income Statement Assumptions'!K43*'Income Statement Assumptions'!K42</f>
        <v>113680</v>
      </c>
      <c r="Y7" s="43">
        <f>'Income Statement Assumptions'!L43*'Income Statement Assumptions'!L42</f>
        <v>127890</v>
      </c>
      <c r="Z7" s="43">
        <f>'Income Statement Assumptions'!M43*'Income Statement Assumptions'!M42</f>
        <v>143880</v>
      </c>
      <c r="AA7" s="43">
        <f>SUM(O7:Z7)</f>
        <v>979800</v>
      </c>
      <c r="AB7" s="43">
        <f>'Income Statement Assumptions'!D47*'Income Statement Assumptions'!D48</f>
        <v>529991</v>
      </c>
      <c r="AC7" s="43">
        <f>'Income Statement Assumptions'!G47*'Income Statement Assumptions'!G48</f>
        <v>662486</v>
      </c>
      <c r="AD7" s="43">
        <f>'Income Statement Assumptions'!J47*'Income Statement Assumptions'!J48</f>
        <v>828113</v>
      </c>
      <c r="AE7" s="43">
        <f>'Income Statement Assumptions'!M47*'Income Statement Assumptions'!M48</f>
        <v>1035144</v>
      </c>
      <c r="AF7" s="43">
        <f t="shared" ref="AF7:AF8" si="1">SUM(AB7:AE7)</f>
        <v>3055734</v>
      </c>
      <c r="AG7" s="55">
        <f>'Income Statement Assumptions'!D52*'Income Statement Assumptions'!D53</f>
        <v>1298640</v>
      </c>
      <c r="AH7" s="43">
        <f>'Income Statement Assumptions'!G52*'Income Statement Assumptions'!G53</f>
        <v>1493436</v>
      </c>
      <c r="AI7" s="43">
        <f>'Income Statement Assumptions'!J52*'Income Statement Assumptions'!J53</f>
        <v>1717452</v>
      </c>
      <c r="AJ7" s="43">
        <f>'Income Statement Assumptions'!M52*'Income Statement Assumptions'!M53</f>
        <v>1975068</v>
      </c>
      <c r="AK7" s="69">
        <f t="shared" ref="AK7:AK8" si="2">SUM(AG7:AJ7)</f>
        <v>6484596</v>
      </c>
      <c r="AL7" s="43">
        <f>'Income Statement Assumptions'!M57*'Income Statement Assumptions'!N58</f>
        <v>8781225</v>
      </c>
    </row>
    <row r="8" spans="1:38" x14ac:dyDescent="0.25">
      <c r="A8" s="1" t="s">
        <v>116</v>
      </c>
      <c r="B8" s="44">
        <f>'Income Statement Assumptions'!B69*'Income Statement Assumptions'!B70</f>
        <v>0</v>
      </c>
      <c r="C8" s="44">
        <f>'Income Statement Assumptions'!C69*'Income Statement Assumptions'!C70</f>
        <v>0</v>
      </c>
      <c r="D8" s="44">
        <f>'Income Statement Assumptions'!D69*'Income Statement Assumptions'!D70</f>
        <v>0</v>
      </c>
      <c r="E8" s="44">
        <f>'Income Statement Assumptions'!E69*'Income Statement Assumptions'!E70</f>
        <v>0</v>
      </c>
      <c r="F8" s="44">
        <f>'Income Statement Assumptions'!F69*'Income Statement Assumptions'!F70</f>
        <v>0</v>
      </c>
      <c r="G8" s="44">
        <f>'Income Statement Assumptions'!G69*'Income Statement Assumptions'!G70</f>
        <v>0</v>
      </c>
      <c r="H8" s="44">
        <f>'Income Statement Assumptions'!H69*'Income Statement Assumptions'!H70</f>
        <v>2100</v>
      </c>
      <c r="I8" s="44">
        <f>'Income Statement Assumptions'!I69*'Income Statement Assumptions'!I70</f>
        <v>2150</v>
      </c>
      <c r="J8" s="44">
        <f>'Income Statement Assumptions'!J69*'Income Statement Assumptions'!J70</f>
        <v>3000</v>
      </c>
      <c r="K8" s="44">
        <f>'Income Statement Assumptions'!K69*'Income Statement Assumptions'!K70</f>
        <v>3300</v>
      </c>
      <c r="L8" s="44">
        <f>'Income Statement Assumptions'!L69*'Income Statement Assumptions'!L70</f>
        <v>3400</v>
      </c>
      <c r="M8" s="44">
        <f>'Income Statement Assumptions'!M69*'Income Statement Assumptions'!M70</f>
        <v>4000</v>
      </c>
      <c r="N8" s="44">
        <f t="shared" si="0"/>
        <v>17950</v>
      </c>
      <c r="O8" s="44">
        <f>'Income Statement Assumptions'!B75*'Income Statement Assumptions'!B74</f>
        <v>4500</v>
      </c>
      <c r="P8" s="44">
        <f>'Income Statement Assumptions'!C75*'Income Statement Assumptions'!C74</f>
        <v>5062</v>
      </c>
      <c r="Q8" s="44">
        <f>'Income Statement Assumptions'!D75*'Income Statement Assumptions'!D74</f>
        <v>5694</v>
      </c>
      <c r="R8" s="44">
        <f>'Income Statement Assumptions'!E75*'Income Statement Assumptions'!E74</f>
        <v>6406</v>
      </c>
      <c r="S8" s="44">
        <f>'Income Statement Assumptions'!F75*'Income Statement Assumptions'!F74</f>
        <v>7206</v>
      </c>
      <c r="T8" s="44">
        <f>'Income Statement Assumptions'!G75*'Income Statement Assumptions'!G74</f>
        <v>8106</v>
      </c>
      <c r="U8" s="44">
        <f>'Income Statement Assumptions'!H75*'Income Statement Assumptions'!H74</f>
        <v>9120</v>
      </c>
      <c r="V8" s="44">
        <f>'Income Statement Assumptions'!I75*'Income Statement Assumptions'!I74</f>
        <v>10260</v>
      </c>
      <c r="W8" s="44">
        <f>'Income Statement Assumptions'!J75*'Income Statement Assumptions'!J74</f>
        <v>11542</v>
      </c>
      <c r="X8" s="44">
        <f>'Income Statement Assumptions'!K75*'Income Statement Assumptions'!K74</f>
        <v>12984</v>
      </c>
      <c r="Y8" s="44">
        <f>'Income Statement Assumptions'!L75*'Income Statement Assumptions'!L74</f>
        <v>14608</v>
      </c>
      <c r="Z8" s="44">
        <f>'Income Statement Assumptions'!M75*'Income Statement Assumptions'!M74</f>
        <v>16434</v>
      </c>
      <c r="AA8" s="44">
        <f>SUM(O8:Z8)</f>
        <v>111922</v>
      </c>
      <c r="AB8" s="44">
        <f>'Income Statement Assumptions'!D79*'Income Statement Assumptions'!D80</f>
        <v>55032</v>
      </c>
      <c r="AC8" s="44">
        <f>'Income Statement Assumptions'!G79*'Income Statement Assumptions'!G80</f>
        <v>68790</v>
      </c>
      <c r="AD8" s="44">
        <f>'Income Statement Assumptions'!J79*'Income Statement Assumptions'!J80</f>
        <v>85988</v>
      </c>
      <c r="AE8" s="44">
        <f>'Income Statement Assumptions'!M79*'Income Statement Assumptions'!M80</f>
        <v>107486</v>
      </c>
      <c r="AF8" s="44">
        <f t="shared" si="1"/>
        <v>317296</v>
      </c>
      <c r="AG8" s="56">
        <f>'Income Statement Assumptions'!D84*'Income Statement Assumptions'!D85</f>
        <v>123608</v>
      </c>
      <c r="AH8" s="44">
        <f>'Income Statement Assumptions'!G84*'Income Statement Assumptions'!G85</f>
        <v>142150</v>
      </c>
      <c r="AI8" s="44">
        <f>'Income Statement Assumptions'!J84*'Income Statement Assumptions'!J85</f>
        <v>163472</v>
      </c>
      <c r="AJ8" s="44">
        <f>'Income Statement Assumptions'!M84*'Income Statement Assumptions'!M85</f>
        <v>187992</v>
      </c>
      <c r="AK8" s="70">
        <f t="shared" si="2"/>
        <v>617222</v>
      </c>
      <c r="AL8" s="44">
        <f>'Income Statement Assumptions'!M89*'Income Statement Assumptions'!N90</f>
        <v>802388</v>
      </c>
    </row>
    <row r="9" spans="1:38" x14ac:dyDescent="0.25">
      <c r="B9" s="43"/>
      <c r="C9" s="43"/>
      <c r="D9" s="43"/>
      <c r="E9" s="43"/>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55"/>
      <c r="AH9" s="43"/>
      <c r="AI9" s="43"/>
      <c r="AJ9" s="43"/>
      <c r="AK9" s="69"/>
      <c r="AL9" s="43"/>
    </row>
    <row r="10" spans="1:38" s="48" customFormat="1" x14ac:dyDescent="0.25">
      <c r="A10" s="48" t="s">
        <v>117</v>
      </c>
      <c r="B10" s="48">
        <f>SUM(B6:B9)</f>
        <v>0</v>
      </c>
      <c r="C10" s="48">
        <f t="shared" ref="C10:M10" si="3">SUM(C6:C9)</f>
        <v>0</v>
      </c>
      <c r="D10" s="48">
        <f t="shared" si="3"/>
        <v>0</v>
      </c>
      <c r="E10" s="48">
        <f t="shared" si="3"/>
        <v>0</v>
      </c>
      <c r="F10" s="48">
        <f t="shared" si="3"/>
        <v>0</v>
      </c>
      <c r="G10" s="48">
        <f t="shared" si="3"/>
        <v>0</v>
      </c>
      <c r="H10" s="48">
        <f t="shared" si="3"/>
        <v>24100</v>
      </c>
      <c r="I10" s="48">
        <f t="shared" si="3"/>
        <v>25150</v>
      </c>
      <c r="J10" s="48">
        <f t="shared" si="3"/>
        <v>33000</v>
      </c>
      <c r="K10" s="48">
        <f t="shared" si="3"/>
        <v>39300</v>
      </c>
      <c r="L10" s="48">
        <f t="shared" si="3"/>
        <v>41400</v>
      </c>
      <c r="M10" s="48">
        <f t="shared" si="3"/>
        <v>49000</v>
      </c>
      <c r="N10" s="48">
        <f>SUM(N6:N8)</f>
        <v>211950</v>
      </c>
      <c r="O10" s="48">
        <f>SUM(O6:O9)</f>
        <v>55140</v>
      </c>
      <c r="P10" s="48">
        <f t="shared" ref="P10:AA10" si="4">SUM(P6:P9)</f>
        <v>62022</v>
      </c>
      <c r="Q10" s="48">
        <f t="shared" si="4"/>
        <v>69774</v>
      </c>
      <c r="R10" s="48">
        <f t="shared" si="4"/>
        <v>78496</v>
      </c>
      <c r="S10" s="48">
        <f t="shared" si="4"/>
        <v>88306</v>
      </c>
      <c r="T10" s="48">
        <f t="shared" si="4"/>
        <v>99356</v>
      </c>
      <c r="U10" s="48">
        <f t="shared" si="4"/>
        <v>111780</v>
      </c>
      <c r="V10" s="48">
        <f t="shared" si="4"/>
        <v>125760</v>
      </c>
      <c r="W10" s="48">
        <f t="shared" si="4"/>
        <v>141492</v>
      </c>
      <c r="X10" s="48">
        <f t="shared" si="4"/>
        <v>159184</v>
      </c>
      <c r="Y10" s="48">
        <f t="shared" si="4"/>
        <v>179078</v>
      </c>
      <c r="Z10" s="48">
        <f t="shared" si="4"/>
        <v>201474</v>
      </c>
      <c r="AA10" s="48">
        <f t="shared" si="4"/>
        <v>1371862</v>
      </c>
      <c r="AB10" s="48">
        <f t="shared" ref="AB10" si="5">SUM(AB6:AB9)</f>
        <v>736625</v>
      </c>
      <c r="AC10" s="48">
        <f t="shared" ref="AC10" si="6">SUM(AC6:AC9)</f>
        <v>920784</v>
      </c>
      <c r="AD10" s="48">
        <f t="shared" ref="AD10" si="7">SUM(AD6:AD9)</f>
        <v>1150997</v>
      </c>
      <c r="AE10" s="48">
        <f t="shared" ref="AE10" si="8">SUM(AE6:AE9)</f>
        <v>1438750</v>
      </c>
      <c r="AF10" s="48">
        <f t="shared" ref="AF10" si="9">SUM(AF6:AF9)</f>
        <v>4247156</v>
      </c>
      <c r="AG10" s="57">
        <f t="shared" ref="AG10" si="10">SUM(AG6:AG9)</f>
        <v>1793744</v>
      </c>
      <c r="AH10" s="48">
        <f t="shared" ref="AH10" si="11">SUM(AH6:AH9)</f>
        <v>2062810</v>
      </c>
      <c r="AI10" s="48">
        <f t="shared" ref="AI10" si="12">SUM(AI6:AI9)</f>
        <v>2372228</v>
      </c>
      <c r="AJ10" s="48">
        <f t="shared" ref="AJ10" si="13">SUM(AJ6:AJ9)</f>
        <v>2728068</v>
      </c>
      <c r="AK10" s="71">
        <f t="shared" ref="AK10" si="14">SUM(AK6:AK9)</f>
        <v>8956850</v>
      </c>
      <c r="AL10" s="48">
        <f t="shared" ref="AL10" si="15">SUM(AL6:AL9)</f>
        <v>12095638</v>
      </c>
    </row>
    <row r="11" spans="1:38" x14ac:dyDescent="0.25">
      <c r="B11" s="43"/>
      <c r="C11" s="43"/>
      <c r="D11" s="43"/>
      <c r="E11" s="43"/>
      <c r="F11" s="43"/>
      <c r="G11" s="43"/>
      <c r="H11" s="43"/>
      <c r="I11" s="43"/>
      <c r="J11" s="43"/>
      <c r="K11" s="43"/>
      <c r="L11" s="43"/>
      <c r="M11" s="43"/>
      <c r="N11" s="43"/>
      <c r="O11" s="43"/>
      <c r="P11" s="43"/>
      <c r="Q11" s="43"/>
      <c r="R11" s="43"/>
      <c r="S11" s="43"/>
      <c r="T11" s="43"/>
      <c r="U11" s="43"/>
      <c r="V11" s="43"/>
      <c r="W11" s="43"/>
      <c r="X11" s="43"/>
      <c r="Y11" s="43"/>
      <c r="Z11" s="43"/>
      <c r="AA11" s="43"/>
      <c r="AB11" s="43"/>
      <c r="AC11" s="43"/>
      <c r="AD11" s="43"/>
      <c r="AE11" s="43"/>
      <c r="AF11" s="43"/>
      <c r="AG11" s="55"/>
      <c r="AH11" s="43"/>
      <c r="AI11" s="43"/>
      <c r="AJ11" s="43"/>
      <c r="AK11" s="69"/>
      <c r="AL11" s="43"/>
    </row>
    <row r="12" spans="1:38" ht="18.75" x14ac:dyDescent="0.25">
      <c r="A12" s="36" t="s">
        <v>118</v>
      </c>
      <c r="B12" s="45"/>
      <c r="C12" s="45"/>
      <c r="D12" s="45"/>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58"/>
      <c r="AH12" s="45"/>
      <c r="AI12" s="45"/>
      <c r="AJ12" s="45"/>
      <c r="AK12" s="72"/>
      <c r="AL12" s="45"/>
    </row>
    <row r="13" spans="1:38" x14ac:dyDescent="0.25">
      <c r="A13" s="1" t="str">
        <f>A6</f>
        <v>Product 1</v>
      </c>
      <c r="B13" s="43"/>
      <c r="C13" s="43"/>
      <c r="D13" s="43"/>
      <c r="E13" s="43"/>
      <c r="F13" s="43"/>
      <c r="G13" s="43"/>
      <c r="H13" s="43"/>
      <c r="I13" s="43"/>
      <c r="J13" s="43"/>
      <c r="K13" s="43"/>
      <c r="L13" s="43"/>
      <c r="M13" s="43"/>
      <c r="N13" s="43"/>
      <c r="O13" s="43"/>
      <c r="P13" s="43"/>
      <c r="Q13" s="43"/>
      <c r="R13" s="43"/>
      <c r="S13" s="43"/>
      <c r="T13" s="43"/>
      <c r="U13" s="43"/>
      <c r="V13" s="43"/>
      <c r="W13" s="43"/>
      <c r="X13" s="43"/>
      <c r="Y13" s="43"/>
      <c r="Z13" s="43"/>
      <c r="AA13" s="43"/>
      <c r="AB13" s="43"/>
      <c r="AC13" s="43"/>
      <c r="AD13" s="43"/>
      <c r="AE13" s="43"/>
      <c r="AF13" s="43"/>
      <c r="AG13" s="55"/>
      <c r="AH13" s="43"/>
      <c r="AI13" s="43"/>
      <c r="AJ13" s="43"/>
      <c r="AK13" s="69"/>
      <c r="AL13" s="43"/>
    </row>
    <row r="14" spans="1:38" s="49" customFormat="1" x14ac:dyDescent="0.25">
      <c r="A14" s="49" t="str">
        <f>'Income Statement Assumptions'!A101</f>
        <v>outsourced product</v>
      </c>
      <c r="B14" s="49">
        <f>'Income Statement Assumptions'!$B$101*'Income Statement Assumptions'!B6</f>
        <v>0</v>
      </c>
      <c r="C14" s="49">
        <f>'Income Statement Assumptions'!$B$101*'Income Statement Assumptions'!C6</f>
        <v>0</v>
      </c>
      <c r="D14" s="49">
        <f>'Income Statement Assumptions'!$B$101*'Income Statement Assumptions'!D6</f>
        <v>0</v>
      </c>
      <c r="E14" s="49">
        <f>'Income Statement Assumptions'!$B$101*'Income Statement Assumptions'!E6</f>
        <v>0</v>
      </c>
      <c r="F14" s="49">
        <f>'Income Statement Assumptions'!$B$101*'Income Statement Assumptions'!F6</f>
        <v>0</v>
      </c>
      <c r="G14" s="49">
        <f>'Income Statement Assumptions'!$B$101*'Income Statement Assumptions'!G6</f>
        <v>0</v>
      </c>
      <c r="H14" s="49">
        <f>'Income Statement Assumptions'!$B$101*'Income Statement Assumptions'!H6</f>
        <v>525</v>
      </c>
      <c r="I14" s="49">
        <f>'Income Statement Assumptions'!$B$101*'Income Statement Assumptions'!I6</f>
        <v>787.5</v>
      </c>
      <c r="J14" s="49">
        <f>'Income Statement Assumptions'!$B$101*'Income Statement Assumptions'!J6</f>
        <v>1312.5</v>
      </c>
      <c r="K14" s="49">
        <f>'Income Statement Assumptions'!$B$101*'Income Statement Assumptions'!K6</f>
        <v>1575</v>
      </c>
      <c r="L14" s="49">
        <f>'Income Statement Assumptions'!$B$101*'Income Statement Assumptions'!L6</f>
        <v>2100</v>
      </c>
      <c r="M14" s="49">
        <f>'Income Statement Assumptions'!$B$101*'Income Statement Assumptions'!M6</f>
        <v>2625</v>
      </c>
      <c r="N14" s="49">
        <f t="shared" ref="N14:N23" si="16">SUM(B14:M14)</f>
        <v>8925</v>
      </c>
      <c r="O14" s="49">
        <f>ROUND(('Income Statement Assumptions'!B$11*('Income Statement Assumptions'!$B101*(1+'Income Statement Assumptions'!$F$101))),0)</f>
        <v>2961</v>
      </c>
      <c r="P14" s="49">
        <f>ROUND(('Income Statement Assumptions'!C$11*('Income Statement Assumptions'!$B101*(1+'Income Statement Assumptions'!$F$101))),0)</f>
        <v>3329</v>
      </c>
      <c r="Q14" s="49">
        <f>ROUND(('Income Statement Assumptions'!D$11*('Income Statement Assumptions'!$B101*(1+'Income Statement Assumptions'!$F$101))),0)</f>
        <v>3744</v>
      </c>
      <c r="R14" s="49">
        <f>ROUND(('Income Statement Assumptions'!E$11*('Income Statement Assumptions'!$B101*(1+'Income Statement Assumptions'!$F$101))),0)</f>
        <v>4212</v>
      </c>
      <c r="S14" s="49">
        <f>ROUND(('Income Statement Assumptions'!F$11*('Income Statement Assumptions'!$B101*(1+'Income Statement Assumptions'!$F$101))),0)</f>
        <v>4738</v>
      </c>
      <c r="T14" s="49">
        <f>ROUND(('Income Statement Assumptions'!G$11*('Income Statement Assumptions'!$B101*(1+'Income Statement Assumptions'!$F$101))),0)</f>
        <v>5332</v>
      </c>
      <c r="U14" s="49">
        <f>ROUND(('Income Statement Assumptions'!H$11*('Income Statement Assumptions'!$B101*(1+'Income Statement Assumptions'!$F$101))),0)</f>
        <v>6000</v>
      </c>
      <c r="V14" s="49">
        <f>ROUND(('Income Statement Assumptions'!I$11*('Income Statement Assumptions'!$B101*(1+'Income Statement Assumptions'!$F$101))),0)</f>
        <v>6752</v>
      </c>
      <c r="W14" s="49">
        <f>ROUND(('Income Statement Assumptions'!J$11*('Income Statement Assumptions'!$B101*(1+'Income Statement Assumptions'!$F$101))),0)</f>
        <v>7599</v>
      </c>
      <c r="X14" s="49">
        <f>ROUND(('Income Statement Assumptions'!K$11*('Income Statement Assumptions'!$B101*(1+'Income Statement Assumptions'!$F$101))),0)</f>
        <v>8551</v>
      </c>
      <c r="Y14" s="49">
        <f>ROUND(('Income Statement Assumptions'!L$11*('Income Statement Assumptions'!$B101*(1+'Income Statement Assumptions'!$F$101))),0)</f>
        <v>9618</v>
      </c>
      <c r="Z14" s="49">
        <f>ROUND(('Income Statement Assumptions'!M$11*('Income Statement Assumptions'!$B101*(1+'Income Statement Assumptions'!$F$101))),0)</f>
        <v>10823</v>
      </c>
      <c r="AA14" s="49">
        <f>SUM(O14:Z14)</f>
        <v>73659</v>
      </c>
      <c r="AB14" s="49">
        <f>ROUND(('Income Statement Assumptions'!$B101*(1+'Income Statement Assumptions'!$D101)*(1+'Income Statement Assumptions'!$G101))*'Income Statement Assumptions'!D$16,0)</f>
        <v>37086</v>
      </c>
      <c r="AC14" s="49">
        <f>ROUND(('Income Statement Assumptions'!$B101*(1+'Income Statement Assumptions'!$D101)*(1+'Income Statement Assumptions'!$G101))*'Income Statement Assumptions'!G$16,0)</f>
        <v>46359</v>
      </c>
      <c r="AD14" s="49">
        <f>ROUND(('Income Statement Assumptions'!$B101*(1+'Income Statement Assumptions'!$D101)*(1+'Income Statement Assumptions'!$G101))*'Income Statement Assumptions'!J$16,0)</f>
        <v>57951</v>
      </c>
      <c r="AE14" s="49">
        <f>ROUND(('Income Statement Assumptions'!$B101*(1+'Income Statement Assumptions'!$D101)*(1+'Income Statement Assumptions'!$G101))*'Income Statement Assumptions'!M$16,0)</f>
        <v>72439</v>
      </c>
      <c r="AF14" s="49">
        <f t="shared" ref="AF14:AF17" si="17">SUM(AB14:AE14)</f>
        <v>213835</v>
      </c>
      <c r="AG14" s="59">
        <f>ROUND(('Income Statement Assumptions'!$B101*(1+'Income Statement Assumptions'!$D101)*(1+'Income Statement Assumptions'!$D101)*(1+'Income Statement Assumptions'!$H101)*'Income Statement Assumptions'!D$21),0)</f>
        <v>84971</v>
      </c>
      <c r="AH14" s="49">
        <f>ROUND(('Income Statement Assumptions'!$B101*(1+'Income Statement Assumptions'!$D101)*(1+'Income Statement Assumptions'!$D101)*(1+'Income Statement Assumptions'!$H101)*'Income Statement Assumptions'!G$21),0)</f>
        <v>97717</v>
      </c>
      <c r="AI14" s="49">
        <f>ROUND(('Income Statement Assumptions'!$B101*(1+'Income Statement Assumptions'!$D101)*(1+'Income Statement Assumptions'!$D101)*(1+'Income Statement Assumptions'!$H101)*'Income Statement Assumptions'!J$21),0)</f>
        <v>112374</v>
      </c>
      <c r="AJ14" s="49">
        <f>ROUND(('Income Statement Assumptions'!$B101*(1+'Income Statement Assumptions'!$D101)*(1+'Income Statement Assumptions'!$D101)*(1+'Income Statement Assumptions'!$H101)*'Income Statement Assumptions'!M$21),0)</f>
        <v>129232</v>
      </c>
      <c r="AK14" s="73">
        <f t="shared" ref="AK14:AK17" si="18">SUM(AG14:AJ14)</f>
        <v>424294</v>
      </c>
      <c r="AL14" s="49">
        <f>ROUND(('Income Statement Assumptions'!$B101*(1+'Income Statement Assumptions'!$D101)*(1+'Income Statement Assumptions'!$D101)*(1+'Income Statement Assumptions'!D101))*(1+'Income Statement Assumptions'!I101)*'Income Statement Assumptions'!N$26,0)</f>
        <v>571010</v>
      </c>
    </row>
    <row r="15" spans="1:38" x14ac:dyDescent="0.25">
      <c r="A15" s="1" t="str">
        <f>'Income Statement Assumptions'!A102</f>
        <v>3PL</v>
      </c>
      <c r="B15" s="43">
        <f>'Income Statement Assumptions'!$B102*'Income Statement Assumptions'!B6</f>
        <v>0</v>
      </c>
      <c r="C15" s="43">
        <f>'Income Statement Assumptions'!$B$102*'Income Statement Assumptions'!C6</f>
        <v>0</v>
      </c>
      <c r="D15" s="43">
        <f>'Income Statement Assumptions'!$B$102*'Income Statement Assumptions'!D6</f>
        <v>0</v>
      </c>
      <c r="E15" s="43">
        <f>'Income Statement Assumptions'!$B$102*'Income Statement Assumptions'!E6</f>
        <v>0</v>
      </c>
      <c r="F15" s="43">
        <f>'Income Statement Assumptions'!$B$102*'Income Statement Assumptions'!F6</f>
        <v>0</v>
      </c>
      <c r="G15" s="43">
        <f>'Income Statement Assumptions'!$B$102*'Income Statement Assumptions'!G6</f>
        <v>0</v>
      </c>
      <c r="H15" s="43">
        <f>'Income Statement Assumptions'!$B$102*'Income Statement Assumptions'!H6</f>
        <v>75</v>
      </c>
      <c r="I15" s="43">
        <f>'Income Statement Assumptions'!$B$102*'Income Statement Assumptions'!I6</f>
        <v>112.5</v>
      </c>
      <c r="J15" s="43">
        <f>'Income Statement Assumptions'!$B$102*'Income Statement Assumptions'!J6</f>
        <v>187.5</v>
      </c>
      <c r="K15" s="43">
        <f>'Income Statement Assumptions'!$B$102*'Income Statement Assumptions'!K6</f>
        <v>225</v>
      </c>
      <c r="L15" s="43">
        <f>'Income Statement Assumptions'!$B$102*'Income Statement Assumptions'!L6</f>
        <v>300</v>
      </c>
      <c r="M15" s="43">
        <f>'Income Statement Assumptions'!$B$102*'Income Statement Assumptions'!M6</f>
        <v>375</v>
      </c>
      <c r="N15" s="43">
        <f t="shared" si="16"/>
        <v>1275</v>
      </c>
      <c r="O15" s="43">
        <f>ROUND(('Income Statement Assumptions'!B$11*('Income Statement Assumptions'!$B102*(1+'Income Statement Assumptions'!$F$101))),0)</f>
        <v>423</v>
      </c>
      <c r="P15" s="43">
        <f>ROUND(('Income Statement Assumptions'!C$11*('Income Statement Assumptions'!$B102*(1+'Income Statement Assumptions'!$F$101))),0)</f>
        <v>476</v>
      </c>
      <c r="Q15" s="43">
        <f>ROUND(('Income Statement Assumptions'!D$11*('Income Statement Assumptions'!$B102*(1+'Income Statement Assumptions'!$F$101))),0)</f>
        <v>535</v>
      </c>
      <c r="R15" s="43">
        <f>ROUND(('Income Statement Assumptions'!E$11*('Income Statement Assumptions'!$B102*(1+'Income Statement Assumptions'!$F$101))),0)</f>
        <v>602</v>
      </c>
      <c r="S15" s="43">
        <f>ROUND(('Income Statement Assumptions'!F$11*('Income Statement Assumptions'!$B102*(1+'Income Statement Assumptions'!$F$101))),0)</f>
        <v>677</v>
      </c>
      <c r="T15" s="43">
        <f>ROUND(('Income Statement Assumptions'!G$11*('Income Statement Assumptions'!$B102*(1+'Income Statement Assumptions'!$F$101))),0)</f>
        <v>762</v>
      </c>
      <c r="U15" s="43">
        <f>ROUND(('Income Statement Assumptions'!H$11*('Income Statement Assumptions'!$B102*(1+'Income Statement Assumptions'!$F$101))),0)</f>
        <v>857</v>
      </c>
      <c r="V15" s="43">
        <f>ROUND(('Income Statement Assumptions'!I$11*('Income Statement Assumptions'!$B102*(1+'Income Statement Assumptions'!$F$101))),0)</f>
        <v>965</v>
      </c>
      <c r="W15" s="43">
        <f>ROUND(('Income Statement Assumptions'!J$11*('Income Statement Assumptions'!$B102*(1+'Income Statement Assumptions'!$F$101))),0)</f>
        <v>1086</v>
      </c>
      <c r="X15" s="43">
        <f>ROUND(('Income Statement Assumptions'!K$11*('Income Statement Assumptions'!$B102*(1+'Income Statement Assumptions'!$F$101))),0)</f>
        <v>1222</v>
      </c>
      <c r="Y15" s="43">
        <f>ROUND(('Income Statement Assumptions'!L$11*('Income Statement Assumptions'!$B102*(1+'Income Statement Assumptions'!$F$101))),0)</f>
        <v>1374</v>
      </c>
      <c r="Z15" s="43">
        <f>ROUND(('Income Statement Assumptions'!M$11*('Income Statement Assumptions'!$B102*(1+'Income Statement Assumptions'!$F$101))),0)</f>
        <v>1546</v>
      </c>
      <c r="AA15" s="43">
        <f t="shared" ref="AA15:AA17" si="19">SUM(O15:Z15)</f>
        <v>10525</v>
      </c>
      <c r="AB15" s="43">
        <f>ROUND(('Income Statement Assumptions'!$B102*(1+'Income Statement Assumptions'!$D102)*(1+'Income Statement Assumptions'!$G102))*'Income Statement Assumptions'!D$16,0)</f>
        <v>5298</v>
      </c>
      <c r="AC15" s="43">
        <f>ROUND(('Income Statement Assumptions'!$B102*(1+'Income Statement Assumptions'!$D102)*(1+'Income Statement Assumptions'!$G102))*'Income Statement Assumptions'!G$16,0)</f>
        <v>6623</v>
      </c>
      <c r="AD15" s="43">
        <f>ROUND(('Income Statement Assumptions'!$B102*(1+'Income Statement Assumptions'!$D102)*(1+'Income Statement Assumptions'!$G102))*'Income Statement Assumptions'!J$16,0)</f>
        <v>8279</v>
      </c>
      <c r="AE15" s="43">
        <f>ROUND(('Income Statement Assumptions'!$B102*(1+'Income Statement Assumptions'!$D102)*(1+'Income Statement Assumptions'!$G102))*'Income Statement Assumptions'!M$16,0)</f>
        <v>10348</v>
      </c>
      <c r="AF15" s="43">
        <f t="shared" si="17"/>
        <v>30548</v>
      </c>
      <c r="AG15" s="55">
        <f>ROUND(('Income Statement Assumptions'!$B102*(1+'Income Statement Assumptions'!$D102)*(1+'Income Statement Assumptions'!$D102)*(1+'Income Statement Assumptions'!$H102)*'Income Statement Assumptions'!D$21),0)</f>
        <v>12139</v>
      </c>
      <c r="AH15" s="43">
        <f>ROUND(('Income Statement Assumptions'!$B102*(1+'Income Statement Assumptions'!$D102)*(1+'Income Statement Assumptions'!$D102)*(1+'Income Statement Assumptions'!$H102)*'Income Statement Assumptions'!G$21),0)</f>
        <v>13960</v>
      </c>
      <c r="AI15" s="43">
        <f>ROUND(('Income Statement Assumptions'!$B102*(1+'Income Statement Assumptions'!$D102)*(1+'Income Statement Assumptions'!$D102)*(1+'Income Statement Assumptions'!$H102)*'Income Statement Assumptions'!J$21),0)</f>
        <v>16053</v>
      </c>
      <c r="AJ15" s="43">
        <f>ROUND(('Income Statement Assumptions'!$B102*(1+'Income Statement Assumptions'!$D102)*(1+'Income Statement Assumptions'!$D102)*(1+'Income Statement Assumptions'!$H102)*'Income Statement Assumptions'!M$21),0)</f>
        <v>18462</v>
      </c>
      <c r="AK15" s="69">
        <f t="shared" si="18"/>
        <v>60614</v>
      </c>
      <c r="AL15" s="43">
        <f>ROUND(('Income Statement Assumptions'!$B102*(1+'Income Statement Assumptions'!$D102)*(1+'Income Statement Assumptions'!$D102)*(1+'Income Statement Assumptions'!D102))*(1+'Income Statement Assumptions'!I102)*'Income Statement Assumptions'!N$26,0)</f>
        <v>81573</v>
      </c>
    </row>
    <row r="16" spans="1:38" x14ac:dyDescent="0.25">
      <c r="A16" s="1" t="str">
        <f>'Income Statement Assumptions'!A103</f>
        <v>CC fee</v>
      </c>
      <c r="B16" s="43">
        <f>'Income Statement Assumptions'!$B103*'Income Statement Assumptions'!B6</f>
        <v>0</v>
      </c>
      <c r="C16" s="43">
        <f>'Income Statement Assumptions'!$B103*'Income Statement Assumptions'!C6</f>
        <v>0</v>
      </c>
      <c r="D16" s="43">
        <f>'Income Statement Assumptions'!$B103*'Income Statement Assumptions'!D6</f>
        <v>0</v>
      </c>
      <c r="E16" s="43">
        <f>'Income Statement Assumptions'!$B103*'Income Statement Assumptions'!E6</f>
        <v>0</v>
      </c>
      <c r="F16" s="43">
        <f>'Income Statement Assumptions'!$B103*'Income Statement Assumptions'!F6</f>
        <v>0</v>
      </c>
      <c r="G16" s="43">
        <f>'Income Statement Assumptions'!$B103*'Income Statement Assumptions'!G6</f>
        <v>0</v>
      </c>
      <c r="H16" s="43">
        <f>'Income Statement Assumptions'!$B103*'Income Statement Assumptions'!H6</f>
        <v>60</v>
      </c>
      <c r="I16" s="43">
        <f>'Income Statement Assumptions'!$B103*'Income Statement Assumptions'!I6</f>
        <v>90</v>
      </c>
      <c r="J16" s="43">
        <f>'Income Statement Assumptions'!$B103*'Income Statement Assumptions'!J6</f>
        <v>150</v>
      </c>
      <c r="K16" s="43">
        <f>'Income Statement Assumptions'!$B103*'Income Statement Assumptions'!K6</f>
        <v>180</v>
      </c>
      <c r="L16" s="43">
        <f>'Income Statement Assumptions'!$B103*'Income Statement Assumptions'!L6</f>
        <v>240</v>
      </c>
      <c r="M16" s="43">
        <f>'Income Statement Assumptions'!$B103*'Income Statement Assumptions'!M6</f>
        <v>300</v>
      </c>
      <c r="N16" s="43">
        <f t="shared" si="16"/>
        <v>1020</v>
      </c>
      <c r="O16" s="43">
        <f>ROUND(('Income Statement Assumptions'!B$11*('Income Statement Assumptions'!$B103*(1+'Income Statement Assumptions'!$F$101))),0)</f>
        <v>338</v>
      </c>
      <c r="P16" s="43">
        <f>ROUND(('Income Statement Assumptions'!C$11*('Income Statement Assumptions'!$B103*(1+'Income Statement Assumptions'!$F$101))),0)</f>
        <v>380</v>
      </c>
      <c r="Q16" s="43">
        <f>ROUND(('Income Statement Assumptions'!D$11*('Income Statement Assumptions'!$B103*(1+'Income Statement Assumptions'!$F$101))),0)</f>
        <v>428</v>
      </c>
      <c r="R16" s="43">
        <f>ROUND(('Income Statement Assumptions'!E$11*('Income Statement Assumptions'!$B103*(1+'Income Statement Assumptions'!$F$101))),0)</f>
        <v>481</v>
      </c>
      <c r="S16" s="43">
        <f>ROUND(('Income Statement Assumptions'!F$11*('Income Statement Assumptions'!$B103*(1+'Income Statement Assumptions'!$F$101))),0)</f>
        <v>542</v>
      </c>
      <c r="T16" s="43">
        <f>ROUND(('Income Statement Assumptions'!G$11*('Income Statement Assumptions'!$B103*(1+'Income Statement Assumptions'!$F$101))),0)</f>
        <v>609</v>
      </c>
      <c r="U16" s="43">
        <f>ROUND(('Income Statement Assumptions'!H$11*('Income Statement Assumptions'!$B103*(1+'Income Statement Assumptions'!$F$101))),0)</f>
        <v>686</v>
      </c>
      <c r="V16" s="43">
        <f>ROUND(('Income Statement Assumptions'!I$11*('Income Statement Assumptions'!$B103*(1+'Income Statement Assumptions'!$F$101))),0)</f>
        <v>772</v>
      </c>
      <c r="W16" s="43">
        <f>ROUND(('Income Statement Assumptions'!J$11*('Income Statement Assumptions'!$B103*(1+'Income Statement Assumptions'!$F$101))),0)</f>
        <v>868</v>
      </c>
      <c r="X16" s="43">
        <f>ROUND(('Income Statement Assumptions'!K$11*('Income Statement Assumptions'!$B103*(1+'Income Statement Assumptions'!$F$101))),0)</f>
        <v>977</v>
      </c>
      <c r="Y16" s="43">
        <f>ROUND(('Income Statement Assumptions'!L$11*('Income Statement Assumptions'!$B103*(1+'Income Statement Assumptions'!$F$101))),0)</f>
        <v>1099</v>
      </c>
      <c r="Z16" s="43">
        <f>ROUND(('Income Statement Assumptions'!M$11*('Income Statement Assumptions'!$B103*(1+'Income Statement Assumptions'!$F$101))),0)</f>
        <v>1237</v>
      </c>
      <c r="AA16" s="43">
        <f t="shared" si="19"/>
        <v>8417</v>
      </c>
      <c r="AB16" s="43">
        <f>ROUND(('Income Statement Assumptions'!$B103*(1+'Income Statement Assumptions'!$D103)*(1+'Income Statement Assumptions'!$G103))*'Income Statement Assumptions'!D$16,0)</f>
        <v>4238</v>
      </c>
      <c r="AC16" s="43">
        <f>ROUND(('Income Statement Assumptions'!$B103*(1+'Income Statement Assumptions'!$D103)*(1+'Income Statement Assumptions'!$G103))*'Income Statement Assumptions'!G$16,0)</f>
        <v>5298</v>
      </c>
      <c r="AD16" s="43">
        <f>ROUND(('Income Statement Assumptions'!$B103*(1+'Income Statement Assumptions'!$D103)*(1+'Income Statement Assumptions'!$G103))*'Income Statement Assumptions'!J$16,0)</f>
        <v>6623</v>
      </c>
      <c r="AE16" s="43">
        <f>ROUND(('Income Statement Assumptions'!$B103*(1+'Income Statement Assumptions'!$D103)*(1+'Income Statement Assumptions'!$G103))*'Income Statement Assumptions'!M$16,0)</f>
        <v>8279</v>
      </c>
      <c r="AF16" s="43">
        <f t="shared" si="17"/>
        <v>24438</v>
      </c>
      <c r="AG16" s="55">
        <f>ROUND(('Income Statement Assumptions'!$B103*(1+'Income Statement Assumptions'!$D103)*(1+'Income Statement Assumptions'!$D103)*(1+'Income Statement Assumptions'!$H103)*'Income Statement Assumptions'!D$21),0)</f>
        <v>9711</v>
      </c>
      <c r="AH16" s="43">
        <f>ROUND(('Income Statement Assumptions'!$B103*(1+'Income Statement Assumptions'!$D103)*(1+'Income Statement Assumptions'!$D103)*(1+'Income Statement Assumptions'!$H103)*'Income Statement Assumptions'!G$21),0)</f>
        <v>11168</v>
      </c>
      <c r="AI16" s="43">
        <f>ROUND(('Income Statement Assumptions'!$B103*(1+'Income Statement Assumptions'!$D103)*(1+'Income Statement Assumptions'!$D103)*(1+'Income Statement Assumptions'!$H103)*'Income Statement Assumptions'!J$21),0)</f>
        <v>12843</v>
      </c>
      <c r="AJ16" s="43">
        <f>ROUND(('Income Statement Assumptions'!$B103*(1+'Income Statement Assumptions'!$D103)*(1+'Income Statement Assumptions'!$D103)*(1+'Income Statement Assumptions'!$H103)*'Income Statement Assumptions'!M$21),0)</f>
        <v>14769</v>
      </c>
      <c r="AK16" s="69">
        <f t="shared" si="18"/>
        <v>48491</v>
      </c>
      <c r="AL16" s="43">
        <f>ROUND(('Income Statement Assumptions'!$B103*(1+'Income Statement Assumptions'!$D103)*(1+'Income Statement Assumptions'!$D103)*(1+'Income Statement Assumptions'!D103))*(1+'Income Statement Assumptions'!I103)*'Income Statement Assumptions'!N$26,0)</f>
        <v>65258</v>
      </c>
    </row>
    <row r="17" spans="1:38" x14ac:dyDescent="0.25">
      <c r="A17" s="1" t="str">
        <f>'Income Statement Assumptions'!A104</f>
        <v>warranty</v>
      </c>
      <c r="B17" s="43">
        <f>'Income Statement Assumptions'!$B104*'Income Statement Assumptions'!B6</f>
        <v>0</v>
      </c>
      <c r="C17" s="43">
        <f>'Income Statement Assumptions'!$B104*'Income Statement Assumptions'!C6</f>
        <v>0</v>
      </c>
      <c r="D17" s="43">
        <f>'Income Statement Assumptions'!$B104*'Income Statement Assumptions'!D6</f>
        <v>0</v>
      </c>
      <c r="E17" s="43">
        <f>'Income Statement Assumptions'!$B104*'Income Statement Assumptions'!E6</f>
        <v>0</v>
      </c>
      <c r="F17" s="43">
        <f>'Income Statement Assumptions'!$B104*'Income Statement Assumptions'!F6</f>
        <v>0</v>
      </c>
      <c r="G17" s="43">
        <f>'Income Statement Assumptions'!$B104*'Income Statement Assumptions'!G6</f>
        <v>0</v>
      </c>
      <c r="H17" s="43">
        <f>'Income Statement Assumptions'!$B104*'Income Statement Assumptions'!H6</f>
        <v>15</v>
      </c>
      <c r="I17" s="43">
        <f>'Income Statement Assumptions'!$B104*'Income Statement Assumptions'!I6</f>
        <v>22.5</v>
      </c>
      <c r="J17" s="43">
        <f>'Income Statement Assumptions'!$B104*'Income Statement Assumptions'!J6</f>
        <v>37.5</v>
      </c>
      <c r="K17" s="43">
        <f>'Income Statement Assumptions'!$B104*'Income Statement Assumptions'!K6</f>
        <v>45</v>
      </c>
      <c r="L17" s="43">
        <f>'Income Statement Assumptions'!$B104*'Income Statement Assumptions'!L6</f>
        <v>60</v>
      </c>
      <c r="M17" s="43">
        <f>'Income Statement Assumptions'!$B104*'Income Statement Assumptions'!M6</f>
        <v>75</v>
      </c>
      <c r="N17" s="43">
        <f t="shared" si="16"/>
        <v>255</v>
      </c>
      <c r="O17" s="43">
        <f>ROUND(('Income Statement Assumptions'!B$11*('Income Statement Assumptions'!$B104*(1+'Income Statement Assumptions'!$F$101))),0)</f>
        <v>85</v>
      </c>
      <c r="P17" s="43">
        <f>ROUND(('Income Statement Assumptions'!C$11*('Income Statement Assumptions'!$B104*(1+'Income Statement Assumptions'!$F$101))),0)</f>
        <v>95</v>
      </c>
      <c r="Q17" s="43">
        <f>ROUND(('Income Statement Assumptions'!D$11*('Income Statement Assumptions'!$B104*(1+'Income Statement Assumptions'!$F$101))),0)</f>
        <v>107</v>
      </c>
      <c r="R17" s="43">
        <f>ROUND(('Income Statement Assumptions'!E$11*('Income Statement Assumptions'!$B104*(1+'Income Statement Assumptions'!$F$101))),0)</f>
        <v>120</v>
      </c>
      <c r="S17" s="43">
        <f>ROUND(('Income Statement Assumptions'!F$11*('Income Statement Assumptions'!$B104*(1+'Income Statement Assumptions'!$F$101))),0)</f>
        <v>135</v>
      </c>
      <c r="T17" s="43">
        <f>ROUND(('Income Statement Assumptions'!G$11*('Income Statement Assumptions'!$B104*(1+'Income Statement Assumptions'!$F$101))),0)</f>
        <v>152</v>
      </c>
      <c r="U17" s="43">
        <f>ROUND(('Income Statement Assumptions'!H$11*('Income Statement Assumptions'!$B104*(1+'Income Statement Assumptions'!$F$101))),0)</f>
        <v>171</v>
      </c>
      <c r="V17" s="43">
        <f>ROUND(('Income Statement Assumptions'!I$11*('Income Statement Assumptions'!$B104*(1+'Income Statement Assumptions'!$F$101))),0)</f>
        <v>193</v>
      </c>
      <c r="W17" s="43">
        <f>ROUND(('Income Statement Assumptions'!J$11*('Income Statement Assumptions'!$B104*(1+'Income Statement Assumptions'!$F$101))),0)</f>
        <v>217</v>
      </c>
      <c r="X17" s="43">
        <f>ROUND(('Income Statement Assumptions'!K$11*('Income Statement Assumptions'!$B104*(1+'Income Statement Assumptions'!$F$101))),0)</f>
        <v>244</v>
      </c>
      <c r="Y17" s="43">
        <f>ROUND(('Income Statement Assumptions'!L$11*('Income Statement Assumptions'!$B104*(1+'Income Statement Assumptions'!$F$101))),0)</f>
        <v>275</v>
      </c>
      <c r="Z17" s="43">
        <f>ROUND(('Income Statement Assumptions'!M$11*('Income Statement Assumptions'!$B104*(1+'Income Statement Assumptions'!$F$101))),0)</f>
        <v>309</v>
      </c>
      <c r="AA17" s="43">
        <f t="shared" si="19"/>
        <v>2103</v>
      </c>
      <c r="AB17" s="43">
        <f>ROUND(('Income Statement Assumptions'!$B104*(1+'Income Statement Assumptions'!$D104)*(1+'Income Statement Assumptions'!$G104))*'Income Statement Assumptions'!D$16,0)</f>
        <v>1099</v>
      </c>
      <c r="AC17" s="43">
        <f>ROUND(('Income Statement Assumptions'!$B104*(1+'Income Statement Assumptions'!$D104)*(1+'Income Statement Assumptions'!$G104))*'Income Statement Assumptions'!G$16,0)</f>
        <v>1374</v>
      </c>
      <c r="AD17" s="43">
        <f>ROUND(('Income Statement Assumptions'!$B104*(1+'Income Statement Assumptions'!$D104)*(1+'Income Statement Assumptions'!$G104))*'Income Statement Assumptions'!J$16,0)</f>
        <v>1717</v>
      </c>
      <c r="AE17" s="43">
        <f>ROUND(('Income Statement Assumptions'!$B104*(1+'Income Statement Assumptions'!$D104)*(1+'Income Statement Assumptions'!$G104))*'Income Statement Assumptions'!M$16,0)</f>
        <v>2146</v>
      </c>
      <c r="AF17" s="43">
        <f t="shared" si="17"/>
        <v>6336</v>
      </c>
      <c r="AG17" s="55">
        <f>ROUND(('Income Statement Assumptions'!$B104*(1+'Income Statement Assumptions'!$D104)*(1+'Income Statement Assumptions'!$D104)*(1+'Income Statement Assumptions'!$H104)*'Income Statement Assumptions'!D$21),0)</f>
        <v>2592</v>
      </c>
      <c r="AH17" s="43">
        <f>ROUND(('Income Statement Assumptions'!$B104*(1+'Income Statement Assumptions'!$D104)*(1+'Income Statement Assumptions'!$D104)*(1+'Income Statement Assumptions'!$H104)*'Income Statement Assumptions'!G$21),0)</f>
        <v>2981</v>
      </c>
      <c r="AI17" s="43">
        <f>ROUND(('Income Statement Assumptions'!$B104*(1+'Income Statement Assumptions'!$D104)*(1+'Income Statement Assumptions'!$D104)*(1+'Income Statement Assumptions'!$H104)*'Income Statement Assumptions'!J$21),0)</f>
        <v>3428</v>
      </c>
      <c r="AJ17" s="43">
        <f>ROUND(('Income Statement Assumptions'!$B104*(1+'Income Statement Assumptions'!$D104)*(1+'Income Statement Assumptions'!$D104)*(1+'Income Statement Assumptions'!$H104)*'Income Statement Assumptions'!M$21),0)</f>
        <v>3942</v>
      </c>
      <c r="AK17" s="69">
        <f t="shared" si="18"/>
        <v>12943</v>
      </c>
      <c r="AL17" s="43">
        <f>ROUND(('Income Statement Assumptions'!$B104*(1+'Income Statement Assumptions'!$D104)*(1+'Income Statement Assumptions'!$D104)*(1+'Income Statement Assumptions'!D104))*(1+'Income Statement Assumptions'!I104)*'Income Statement Assumptions'!N$26,0)</f>
        <v>18320</v>
      </c>
    </row>
    <row r="18" spans="1:38" x14ac:dyDescent="0.25">
      <c r="B18" s="43"/>
      <c r="C18" s="43"/>
      <c r="D18" s="43"/>
      <c r="E18" s="43"/>
      <c r="F18" s="43"/>
      <c r="G18" s="43"/>
      <c r="H18" s="43"/>
      <c r="I18" s="43"/>
      <c r="J18" s="43"/>
      <c r="K18" s="43"/>
      <c r="L18" s="43"/>
      <c r="M18" s="43"/>
      <c r="N18" s="43"/>
      <c r="O18" s="43"/>
      <c r="P18" s="43"/>
      <c r="Q18" s="43"/>
      <c r="R18" s="43"/>
      <c r="S18" s="43"/>
      <c r="T18" s="43"/>
      <c r="U18" s="43"/>
      <c r="V18" s="43"/>
      <c r="W18" s="43"/>
      <c r="X18" s="43"/>
      <c r="Y18" s="43"/>
      <c r="Z18" s="43"/>
      <c r="AA18" s="43"/>
      <c r="AB18" s="43"/>
      <c r="AC18" s="43"/>
      <c r="AD18" s="43"/>
      <c r="AE18" s="43"/>
      <c r="AF18" s="43"/>
      <c r="AG18" s="55"/>
      <c r="AH18" s="43"/>
      <c r="AI18" s="43"/>
      <c r="AJ18" s="43"/>
      <c r="AK18" s="69"/>
      <c r="AL18" s="43"/>
    </row>
    <row r="19" spans="1:38" x14ac:dyDescent="0.25">
      <c r="A19" s="1" t="str">
        <f>A7</f>
        <v>Product 2</v>
      </c>
      <c r="B19" s="43"/>
      <c r="C19" s="43"/>
      <c r="D19" s="43"/>
      <c r="E19" s="43"/>
      <c r="F19" s="4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55"/>
      <c r="AH19" s="43"/>
      <c r="AI19" s="43"/>
      <c r="AJ19" s="43"/>
      <c r="AK19" s="69"/>
      <c r="AL19" s="43"/>
    </row>
    <row r="20" spans="1:38" x14ac:dyDescent="0.25">
      <c r="A20" s="1" t="str">
        <f>'Income Statement Assumptions'!A107</f>
        <v>Outsourced product</v>
      </c>
      <c r="B20" s="43">
        <f>'Income Statement Assumptions'!$B107*'Income Statement Assumptions'!B38</f>
        <v>0</v>
      </c>
      <c r="C20" s="43">
        <f>'Income Statement Assumptions'!$B107*'Income Statement Assumptions'!C38</f>
        <v>0</v>
      </c>
      <c r="D20" s="43">
        <f>'Income Statement Assumptions'!$B107*'Income Statement Assumptions'!D38</f>
        <v>0</v>
      </c>
      <c r="E20" s="43">
        <f>'Income Statement Assumptions'!$B107*'Income Statement Assumptions'!E38</f>
        <v>0</v>
      </c>
      <c r="F20" s="43">
        <f>'Income Statement Assumptions'!$B107*'Income Statement Assumptions'!F38</f>
        <v>0</v>
      </c>
      <c r="G20" s="43">
        <f>'Income Statement Assumptions'!$B107*'Income Statement Assumptions'!G38</f>
        <v>0</v>
      </c>
      <c r="H20" s="43">
        <f>'Income Statement Assumptions'!$B107*'Income Statement Assumptions'!H38</f>
        <v>10500</v>
      </c>
      <c r="I20" s="43">
        <f>'Income Statement Assumptions'!$B107*'Income Statement Assumptions'!I38</f>
        <v>10500</v>
      </c>
      <c r="J20" s="43">
        <f>'Income Statement Assumptions'!$B107*'Income Statement Assumptions'!J38</f>
        <v>13125</v>
      </c>
      <c r="K20" s="43">
        <f>'Income Statement Assumptions'!$B107*'Income Statement Assumptions'!K38</f>
        <v>15750</v>
      </c>
      <c r="L20" s="43">
        <f>'Income Statement Assumptions'!$B107*'Income Statement Assumptions'!L38</f>
        <v>15750</v>
      </c>
      <c r="M20" s="43">
        <f>'Income Statement Assumptions'!$B107*'Income Statement Assumptions'!M38</f>
        <v>18375</v>
      </c>
      <c r="N20" s="43">
        <f t="shared" si="16"/>
        <v>84000</v>
      </c>
      <c r="O20" s="43">
        <f>ROUND(('Income Statement Assumptions'!B$43*('Income Statement Assumptions'!$B107*(1+'Income Statement Assumptions'!$F$107))),0)</f>
        <v>20709</v>
      </c>
      <c r="P20" s="43">
        <f>ROUND(('Income Statement Assumptions'!C$43*('Income Statement Assumptions'!$B107*(1+'Income Statement Assumptions'!$F$107))),0)</f>
        <v>23296</v>
      </c>
      <c r="Q20" s="43">
        <f>ROUND(('Income Statement Assumptions'!D$43*('Income Statement Assumptions'!$B107*(1+'Income Statement Assumptions'!$F$107))),0)</f>
        <v>26210</v>
      </c>
      <c r="R20" s="43">
        <f>ROUND(('Income Statement Assumptions'!E$43*('Income Statement Assumptions'!$B107*(1+'Income Statement Assumptions'!$F$107))),0)</f>
        <v>29486</v>
      </c>
      <c r="S20" s="43">
        <f>ROUND(('Income Statement Assumptions'!F$43*('Income Statement Assumptions'!$B107*(1+'Income Statement Assumptions'!$F$107))),0)</f>
        <v>33172</v>
      </c>
      <c r="T20" s="43">
        <f>ROUND(('Income Statement Assumptions'!G$43*('Income Statement Assumptions'!$B107*(1+'Income Statement Assumptions'!$F$107))),0)</f>
        <v>37321</v>
      </c>
      <c r="U20" s="43">
        <f>ROUND(('Income Statement Assumptions'!H$43*('Income Statement Assumptions'!$B107*(1+'Income Statement Assumptions'!$F$107))),0)</f>
        <v>41986</v>
      </c>
      <c r="V20" s="43">
        <f>ROUND(('Income Statement Assumptions'!I$43*('Income Statement Assumptions'!$B107*(1+'Income Statement Assumptions'!$F$107))),0)</f>
        <v>47234</v>
      </c>
      <c r="W20" s="43">
        <f>ROUND(('Income Statement Assumptions'!J$43*('Income Statement Assumptions'!$B107*(1+'Income Statement Assumptions'!$F$107))),0)</f>
        <v>53140</v>
      </c>
      <c r="X20" s="43">
        <f>ROUND(('Income Statement Assumptions'!K$43*('Income Statement Assumptions'!$B107*(1+'Income Statement Assumptions'!$F$107))),0)</f>
        <v>59781</v>
      </c>
      <c r="Y20" s="43">
        <f>ROUND(('Income Statement Assumptions'!L$43*('Income Statement Assumptions'!$B107*(1+'Income Statement Assumptions'!$F$107))),0)</f>
        <v>67254</v>
      </c>
      <c r="Z20" s="43">
        <f>ROUND(('Income Statement Assumptions'!M$43*('Income Statement Assumptions'!$B107*(1+'Income Statement Assumptions'!$F$107))),0)</f>
        <v>75663</v>
      </c>
      <c r="AA20" s="43">
        <f>SUM(O20:Z20)</f>
        <v>515252</v>
      </c>
      <c r="AB20" s="43">
        <f>ROUND(('Income Statement Assumptions'!$B107*(1+'Income Statement Assumptions'!$D107)*(1+'Income Statement Assumptions'!$G107))*'Income Statement Assumptions'!D$48,0)</f>
        <v>259299</v>
      </c>
      <c r="AC20" s="43">
        <f>ROUND(('Income Statement Assumptions'!$B107*(1+'Income Statement Assumptions'!$D107)*(1+'Income Statement Assumptions'!$G107))*'Income Statement Assumptions'!G$48,0)</f>
        <v>324123</v>
      </c>
      <c r="AD20" s="43">
        <f>ROUND(('Income Statement Assumptions'!$B107*(1+'Income Statement Assumptions'!$D107)*(1+'Income Statement Assumptions'!$G107))*'Income Statement Assumptions'!J$48,0)</f>
        <v>405156</v>
      </c>
      <c r="AE20" s="43">
        <f>ROUND(('Income Statement Assumptions'!$B107*(1+'Income Statement Assumptions'!$D107)*(1+'Income Statement Assumptions'!$G107))*'Income Statement Assumptions'!M$48,0)</f>
        <v>506447</v>
      </c>
      <c r="AF20" s="43">
        <f t="shared" ref="AF20:AF23" si="20">SUM(AB20:AE20)</f>
        <v>1495025</v>
      </c>
      <c r="AG20" s="55">
        <f>ROUND(('Income Statement Assumptions'!$B107*(1+'Income Statement Assumptions'!$D107)*(1+'Income Statement Assumptions'!$D107)*(1+'Income Statement Assumptions'!$H107)*'Income Statement Assumptions'!D$53),0)</f>
        <v>594064</v>
      </c>
      <c r="AH20" s="43">
        <f>ROUND(('Income Statement Assumptions'!$B107*(1+'Income Statement Assumptions'!$D107)*(1+'Income Statement Assumptions'!$D107)*(1+'Income Statement Assumptions'!$H107)*'Income Statement Assumptions'!G$53),0)</f>
        <v>683174</v>
      </c>
      <c r="AI20" s="43">
        <f>ROUND(('Income Statement Assumptions'!$B107*(1+'Income Statement Assumptions'!$D107)*(1+'Income Statement Assumptions'!$D107)*(1+'Income Statement Assumptions'!$H107)*'Income Statement Assumptions'!J$53),0)</f>
        <v>785650</v>
      </c>
      <c r="AJ20" s="43">
        <f>ROUND(('Income Statement Assumptions'!$B107*(1+'Income Statement Assumptions'!$D107)*(1+'Income Statement Assumptions'!$D107)*(1+'Income Statement Assumptions'!$H107)*'Income Statement Assumptions'!M$53),0)</f>
        <v>903497</v>
      </c>
      <c r="AK20" s="69">
        <f t="shared" ref="AK20:AK23" si="21">SUM(AG20:AJ20)</f>
        <v>2966385</v>
      </c>
      <c r="AL20" s="43">
        <f>ROUND(('Income Statement Assumptions'!$B107*(1+'Income Statement Assumptions'!$D107)*(1+'Income Statement Assumptions'!$D107)*(1+'Income Statement Assumptions'!D107))*(1+'Income Statement Assumptions'!I107)*'Income Statement Assumptions'!N$58,0)</f>
        <v>3992134</v>
      </c>
    </row>
    <row r="21" spans="1:38" x14ac:dyDescent="0.25">
      <c r="A21" s="1" t="str">
        <f>'Income Statement Assumptions'!A108</f>
        <v>3PL</v>
      </c>
      <c r="B21" s="43">
        <f>'Income Statement Assumptions'!$B108*'Income Statement Assumptions'!B38</f>
        <v>0</v>
      </c>
      <c r="C21" s="43">
        <f>'Income Statement Assumptions'!$B108*'Income Statement Assumptions'!C38</f>
        <v>0</v>
      </c>
      <c r="D21" s="43">
        <f>'Income Statement Assumptions'!$B108*'Income Statement Assumptions'!D38</f>
        <v>0</v>
      </c>
      <c r="E21" s="43">
        <f>'Income Statement Assumptions'!$B108*'Income Statement Assumptions'!E38</f>
        <v>0</v>
      </c>
      <c r="F21" s="43">
        <f>'Income Statement Assumptions'!$B108*'Income Statement Assumptions'!F38</f>
        <v>0</v>
      </c>
      <c r="G21" s="43">
        <f>'Income Statement Assumptions'!$B108*'Income Statement Assumptions'!G38</f>
        <v>0</v>
      </c>
      <c r="H21" s="43">
        <f>'Income Statement Assumptions'!$B108*'Income Statement Assumptions'!H38</f>
        <v>1500</v>
      </c>
      <c r="I21" s="43">
        <f>'Income Statement Assumptions'!$B108*'Income Statement Assumptions'!I38</f>
        <v>1500</v>
      </c>
      <c r="J21" s="43">
        <f>'Income Statement Assumptions'!$B108*'Income Statement Assumptions'!J38</f>
        <v>1875</v>
      </c>
      <c r="K21" s="43">
        <f>'Income Statement Assumptions'!$B108*'Income Statement Assumptions'!K38</f>
        <v>2250</v>
      </c>
      <c r="L21" s="43">
        <f>'Income Statement Assumptions'!$B108*'Income Statement Assumptions'!L38</f>
        <v>2250</v>
      </c>
      <c r="M21" s="43">
        <f>'Income Statement Assumptions'!$B108*'Income Statement Assumptions'!M38</f>
        <v>2625</v>
      </c>
      <c r="N21" s="43">
        <f t="shared" si="16"/>
        <v>12000</v>
      </c>
      <c r="O21" s="43">
        <f>ROUND(('Income Statement Assumptions'!B$43*('Income Statement Assumptions'!$B108*(1+'Income Statement Assumptions'!$F$107))),0)</f>
        <v>2958</v>
      </c>
      <c r="P21" s="43">
        <f>ROUND(('Income Statement Assumptions'!C$43*('Income Statement Assumptions'!$B108*(1+'Income Statement Assumptions'!$F$107))),0)</f>
        <v>3328</v>
      </c>
      <c r="Q21" s="43">
        <f>ROUND(('Income Statement Assumptions'!D$43*('Income Statement Assumptions'!$B108*(1+'Income Statement Assumptions'!$F$107))),0)</f>
        <v>3744</v>
      </c>
      <c r="R21" s="43">
        <f>ROUND(('Income Statement Assumptions'!E$43*('Income Statement Assumptions'!$B108*(1+'Income Statement Assumptions'!$F$107))),0)</f>
        <v>4212</v>
      </c>
      <c r="S21" s="43">
        <f>ROUND(('Income Statement Assumptions'!F$43*('Income Statement Assumptions'!$B108*(1+'Income Statement Assumptions'!$F$107))),0)</f>
        <v>4739</v>
      </c>
      <c r="T21" s="43">
        <f>ROUND(('Income Statement Assumptions'!G$43*('Income Statement Assumptions'!$B108*(1+'Income Statement Assumptions'!$F$107))),0)</f>
        <v>5332</v>
      </c>
      <c r="U21" s="43">
        <f>ROUND(('Income Statement Assumptions'!H$43*('Income Statement Assumptions'!$B108*(1+'Income Statement Assumptions'!$F$107))),0)</f>
        <v>5998</v>
      </c>
      <c r="V21" s="43">
        <f>ROUND(('Income Statement Assumptions'!I$43*('Income Statement Assumptions'!$B108*(1+'Income Statement Assumptions'!$F$107))),0)</f>
        <v>6748</v>
      </c>
      <c r="W21" s="43">
        <f>ROUND(('Income Statement Assumptions'!J$43*('Income Statement Assumptions'!$B108*(1+'Income Statement Assumptions'!$F$107))),0)</f>
        <v>7591</v>
      </c>
      <c r="X21" s="43">
        <f>ROUND(('Income Statement Assumptions'!K$43*('Income Statement Assumptions'!$B108*(1+'Income Statement Assumptions'!$F$107))),0)</f>
        <v>8540</v>
      </c>
      <c r="Y21" s="43">
        <f>ROUND(('Income Statement Assumptions'!L$43*('Income Statement Assumptions'!$B108*(1+'Income Statement Assumptions'!$F$107))),0)</f>
        <v>9608</v>
      </c>
      <c r="Z21" s="43">
        <f>ROUND(('Income Statement Assumptions'!M$43*('Income Statement Assumptions'!$B108*(1+'Income Statement Assumptions'!$F$107))),0)</f>
        <v>10809</v>
      </c>
      <c r="AA21" s="43">
        <f t="shared" ref="AA21:AA23" si="22">SUM(O21:Z21)</f>
        <v>73607</v>
      </c>
      <c r="AB21" s="43">
        <f>ROUND(('Income Statement Assumptions'!$B108*(1+'Income Statement Assumptions'!$D108)*(1+'Income Statement Assumptions'!$G108))*'Income Statement Assumptions'!D$48,0)</f>
        <v>37043</v>
      </c>
      <c r="AC21" s="43">
        <f>ROUND(('Income Statement Assumptions'!$B108*(1+'Income Statement Assumptions'!$D108)*(1+'Income Statement Assumptions'!$G108))*'Income Statement Assumptions'!G$48,0)</f>
        <v>46303</v>
      </c>
      <c r="AD21" s="43">
        <f>ROUND(('Income Statement Assumptions'!$B108*(1+'Income Statement Assumptions'!$D108)*(1+'Income Statement Assumptions'!$G108))*'Income Statement Assumptions'!J$48,0)</f>
        <v>57879</v>
      </c>
      <c r="AE21" s="43">
        <f>ROUND(('Income Statement Assumptions'!$B108*(1+'Income Statement Assumptions'!$D108)*(1+'Income Statement Assumptions'!$G108))*'Income Statement Assumptions'!M$48,0)</f>
        <v>72350</v>
      </c>
      <c r="AF21" s="43">
        <f t="shared" si="20"/>
        <v>213575</v>
      </c>
      <c r="AG21" s="55">
        <f>ROUND(('Income Statement Assumptions'!$B108*(1+'Income Statement Assumptions'!$D108)*(1+'Income Statement Assumptions'!$D108)*(1+'Income Statement Assumptions'!$H108)*'Income Statement Assumptions'!D$53),0)</f>
        <v>84866</v>
      </c>
      <c r="AH21" s="43">
        <f>ROUND(('Income Statement Assumptions'!$B108*(1+'Income Statement Assumptions'!$D108)*(1+'Income Statement Assumptions'!$D108)*(1+'Income Statement Assumptions'!$H108)*'Income Statement Assumptions'!G$53),0)</f>
        <v>97596</v>
      </c>
      <c r="AI21" s="43">
        <f>ROUND(('Income Statement Assumptions'!$B108*(1+'Income Statement Assumptions'!$D108)*(1+'Income Statement Assumptions'!$D108)*(1+'Income Statement Assumptions'!$H108)*'Income Statement Assumptions'!J$53),0)</f>
        <v>112236</v>
      </c>
      <c r="AJ21" s="43">
        <f>ROUND(('Income Statement Assumptions'!$B108*(1+'Income Statement Assumptions'!$D108)*(1+'Income Statement Assumptions'!$D108)*(1+'Income Statement Assumptions'!$H108)*'Income Statement Assumptions'!M$53),0)</f>
        <v>129071</v>
      </c>
      <c r="AK21" s="69">
        <f t="shared" si="21"/>
        <v>423769</v>
      </c>
      <c r="AL21" s="43">
        <f>ROUND(('Income Statement Assumptions'!$B108*(1+'Income Statement Assumptions'!$D108)*(1+'Income Statement Assumptions'!$D108)*(1+'Income Statement Assumptions'!D108))*(1+'Income Statement Assumptions'!I108)*'Income Statement Assumptions'!N$58,0)</f>
        <v>570305</v>
      </c>
    </row>
    <row r="22" spans="1:38" x14ac:dyDescent="0.25">
      <c r="A22" s="1" t="str">
        <f>'Income Statement Assumptions'!A109</f>
        <v>CC fee</v>
      </c>
      <c r="B22" s="43">
        <f>'Income Statement Assumptions'!$B109*'Income Statement Assumptions'!B38</f>
        <v>0</v>
      </c>
      <c r="C22" s="43">
        <f>'Income Statement Assumptions'!$B109*'Income Statement Assumptions'!C38</f>
        <v>0</v>
      </c>
      <c r="D22" s="43">
        <f>'Income Statement Assumptions'!$B109*'Income Statement Assumptions'!D38</f>
        <v>0</v>
      </c>
      <c r="E22" s="43">
        <f>'Income Statement Assumptions'!$B109*'Income Statement Assumptions'!E38</f>
        <v>0</v>
      </c>
      <c r="F22" s="43">
        <f>'Income Statement Assumptions'!$B109*'Income Statement Assumptions'!F38</f>
        <v>0</v>
      </c>
      <c r="G22" s="43">
        <f>'Income Statement Assumptions'!$B109*'Income Statement Assumptions'!G38</f>
        <v>0</v>
      </c>
      <c r="H22" s="43">
        <f>'Income Statement Assumptions'!$B109*'Income Statement Assumptions'!H38</f>
        <v>0</v>
      </c>
      <c r="I22" s="43">
        <f>'Income Statement Assumptions'!$B109*'Income Statement Assumptions'!I38</f>
        <v>0</v>
      </c>
      <c r="J22" s="43">
        <f>'Income Statement Assumptions'!$B109*'Income Statement Assumptions'!J38</f>
        <v>0</v>
      </c>
      <c r="K22" s="43">
        <f>'Income Statement Assumptions'!$B109*'Income Statement Assumptions'!K38</f>
        <v>0</v>
      </c>
      <c r="L22" s="43">
        <f>'Income Statement Assumptions'!$B109*'Income Statement Assumptions'!L38</f>
        <v>0</v>
      </c>
      <c r="M22" s="43">
        <f>'Income Statement Assumptions'!$B109*'Income Statement Assumptions'!M38</f>
        <v>0</v>
      </c>
      <c r="N22" s="43">
        <f t="shared" si="16"/>
        <v>0</v>
      </c>
      <c r="O22" s="43">
        <f>ROUND(('Income Statement Assumptions'!B$43*('Income Statement Assumptions'!$B109*(1+'Income Statement Assumptions'!$F$107))),0)</f>
        <v>0</v>
      </c>
      <c r="P22" s="43">
        <f>ROUND(('Income Statement Assumptions'!C$43*('Income Statement Assumptions'!$B109*(1+'Income Statement Assumptions'!$F$107))),0)</f>
        <v>0</v>
      </c>
      <c r="Q22" s="43">
        <f>ROUND(('Income Statement Assumptions'!D$43*('Income Statement Assumptions'!$B109*(1+'Income Statement Assumptions'!$F$107))),0)</f>
        <v>0</v>
      </c>
      <c r="R22" s="43">
        <f>ROUND(('Income Statement Assumptions'!E$43*('Income Statement Assumptions'!$B109*(1+'Income Statement Assumptions'!$F$107))),0)</f>
        <v>0</v>
      </c>
      <c r="S22" s="43">
        <f>ROUND(('Income Statement Assumptions'!F$43*('Income Statement Assumptions'!$B109*(1+'Income Statement Assumptions'!$F$107))),0)</f>
        <v>0</v>
      </c>
      <c r="T22" s="43">
        <f>ROUND(('Income Statement Assumptions'!G$43*('Income Statement Assumptions'!$B109*(1+'Income Statement Assumptions'!$F$107))),0)</f>
        <v>0</v>
      </c>
      <c r="U22" s="43">
        <f>ROUND(('Income Statement Assumptions'!H$43*('Income Statement Assumptions'!$B109*(1+'Income Statement Assumptions'!$F$107))),0)</f>
        <v>0</v>
      </c>
      <c r="V22" s="43">
        <f>ROUND(('Income Statement Assumptions'!I$43*('Income Statement Assumptions'!$B109*(1+'Income Statement Assumptions'!$F$107))),0)</f>
        <v>0</v>
      </c>
      <c r="W22" s="43">
        <f>ROUND(('Income Statement Assumptions'!J$43*('Income Statement Assumptions'!$B109*(1+'Income Statement Assumptions'!$F$107))),0)</f>
        <v>0</v>
      </c>
      <c r="X22" s="43">
        <f>ROUND(('Income Statement Assumptions'!K$43*('Income Statement Assumptions'!$B109*(1+'Income Statement Assumptions'!$F$107))),0)</f>
        <v>0</v>
      </c>
      <c r="Y22" s="43">
        <f>ROUND(('Income Statement Assumptions'!L$43*('Income Statement Assumptions'!$B109*(1+'Income Statement Assumptions'!$F$107))),0)</f>
        <v>0</v>
      </c>
      <c r="Z22" s="43">
        <f>ROUND(('Income Statement Assumptions'!M$43*('Income Statement Assumptions'!$B109*(1+'Income Statement Assumptions'!$F$107))),0)</f>
        <v>0</v>
      </c>
      <c r="AA22" s="43">
        <f t="shared" si="22"/>
        <v>0</v>
      </c>
      <c r="AB22" s="43">
        <f>ROUND(('Income Statement Assumptions'!$B109*(1+'Income Statement Assumptions'!$D109)*(1+'Income Statement Assumptions'!$G109))*'Income Statement Assumptions'!D$48,0)</f>
        <v>0</v>
      </c>
      <c r="AC22" s="43">
        <f>ROUND(('Income Statement Assumptions'!$B109*(1+'Income Statement Assumptions'!$D109)*(1+'Income Statement Assumptions'!$G109))*'Income Statement Assumptions'!G$48,0)</f>
        <v>0</v>
      </c>
      <c r="AD22" s="43">
        <f>ROUND(('Income Statement Assumptions'!$B109*(1+'Income Statement Assumptions'!$D109)*(1+'Income Statement Assumptions'!$G109))*'Income Statement Assumptions'!J$48,0)</f>
        <v>0</v>
      </c>
      <c r="AE22" s="43">
        <f>ROUND(('Income Statement Assumptions'!$B109*(1+'Income Statement Assumptions'!$D109)*(1+'Income Statement Assumptions'!$G109))*'Income Statement Assumptions'!M$48,0)</f>
        <v>0</v>
      </c>
      <c r="AF22" s="43">
        <f t="shared" si="20"/>
        <v>0</v>
      </c>
      <c r="AG22" s="55">
        <f>ROUND(('Income Statement Assumptions'!$B109*(1+'Income Statement Assumptions'!$D109)*(1+'Income Statement Assumptions'!$D109)*(1+'Income Statement Assumptions'!$H109)*'Income Statement Assumptions'!D$53),0)</f>
        <v>0</v>
      </c>
      <c r="AH22" s="43">
        <f>ROUND(('Income Statement Assumptions'!$B109*(1+'Income Statement Assumptions'!$D109)*(1+'Income Statement Assumptions'!$D109)*(1+'Income Statement Assumptions'!$H109)*'Income Statement Assumptions'!G$53),0)</f>
        <v>0</v>
      </c>
      <c r="AI22" s="43">
        <f>ROUND(('Income Statement Assumptions'!$B109*(1+'Income Statement Assumptions'!$D109)*(1+'Income Statement Assumptions'!$D109)*(1+'Income Statement Assumptions'!$H109)*'Income Statement Assumptions'!J$53),0)</f>
        <v>0</v>
      </c>
      <c r="AJ22" s="43">
        <f>ROUND(('Income Statement Assumptions'!$B109*(1+'Income Statement Assumptions'!$D109)*(1+'Income Statement Assumptions'!$D109)*(1+'Income Statement Assumptions'!$H109)*'Income Statement Assumptions'!M$53),0)</f>
        <v>0</v>
      </c>
      <c r="AK22" s="69">
        <f t="shared" si="21"/>
        <v>0</v>
      </c>
      <c r="AL22" s="43">
        <f>ROUND(('Income Statement Assumptions'!$B109*(1+'Income Statement Assumptions'!$D109)*(1+'Income Statement Assumptions'!$D109)*(1+'Income Statement Assumptions'!D109))*(1+'Income Statement Assumptions'!I109)*'Income Statement Assumptions'!N$58,0)</f>
        <v>0</v>
      </c>
    </row>
    <row r="23" spans="1:38" x14ac:dyDescent="0.25">
      <c r="A23" s="1" t="str">
        <f>'Income Statement Assumptions'!A110</f>
        <v>warranty</v>
      </c>
      <c r="B23" s="43">
        <f>'Income Statement Assumptions'!$B110*'Income Statement Assumptions'!B38</f>
        <v>0</v>
      </c>
      <c r="C23" s="43">
        <f>'Income Statement Assumptions'!$B110*'Income Statement Assumptions'!C38</f>
        <v>0</v>
      </c>
      <c r="D23" s="43">
        <f>'Income Statement Assumptions'!$B110*'Income Statement Assumptions'!D38</f>
        <v>0</v>
      </c>
      <c r="E23" s="43">
        <f>'Income Statement Assumptions'!$B110*'Income Statement Assumptions'!E38</f>
        <v>0</v>
      </c>
      <c r="F23" s="43">
        <f>'Income Statement Assumptions'!$B110*'Income Statement Assumptions'!F38</f>
        <v>0</v>
      </c>
      <c r="G23" s="43">
        <f>'Income Statement Assumptions'!$B110*'Income Statement Assumptions'!G38</f>
        <v>0</v>
      </c>
      <c r="H23" s="43">
        <f>'Income Statement Assumptions'!$B110*'Income Statement Assumptions'!H38</f>
        <v>300</v>
      </c>
      <c r="I23" s="43">
        <f>'Income Statement Assumptions'!$B110*'Income Statement Assumptions'!I38</f>
        <v>300</v>
      </c>
      <c r="J23" s="43">
        <f>'Income Statement Assumptions'!$B110*'Income Statement Assumptions'!J38</f>
        <v>375</v>
      </c>
      <c r="K23" s="43">
        <f>'Income Statement Assumptions'!$B110*'Income Statement Assumptions'!K38</f>
        <v>450</v>
      </c>
      <c r="L23" s="43">
        <f>'Income Statement Assumptions'!$B110*'Income Statement Assumptions'!L38</f>
        <v>450</v>
      </c>
      <c r="M23" s="43">
        <f>'Income Statement Assumptions'!$B110*'Income Statement Assumptions'!M38</f>
        <v>525</v>
      </c>
      <c r="N23" s="43">
        <f t="shared" si="16"/>
        <v>2400</v>
      </c>
      <c r="O23" s="43">
        <f>ROUND(('Income Statement Assumptions'!B$43*('Income Statement Assumptions'!$B110*(1+'Income Statement Assumptions'!$F$107))),0)</f>
        <v>592</v>
      </c>
      <c r="P23" s="43">
        <f>ROUND(('Income Statement Assumptions'!C$43*('Income Statement Assumptions'!$B110*(1+'Income Statement Assumptions'!$F$107))),0)</f>
        <v>666</v>
      </c>
      <c r="Q23" s="43">
        <f>ROUND(('Income Statement Assumptions'!D$43*('Income Statement Assumptions'!$B110*(1+'Income Statement Assumptions'!$F$107))),0)</f>
        <v>749</v>
      </c>
      <c r="R23" s="43">
        <f>ROUND(('Income Statement Assumptions'!E$43*('Income Statement Assumptions'!$B110*(1+'Income Statement Assumptions'!$F$107))),0)</f>
        <v>842</v>
      </c>
      <c r="S23" s="43">
        <f>ROUND(('Income Statement Assumptions'!F$43*('Income Statement Assumptions'!$B110*(1+'Income Statement Assumptions'!$F$107))),0)</f>
        <v>948</v>
      </c>
      <c r="T23" s="43">
        <f>ROUND(('Income Statement Assumptions'!G$43*('Income Statement Assumptions'!$B110*(1+'Income Statement Assumptions'!$F$107))),0)</f>
        <v>1066</v>
      </c>
      <c r="U23" s="43">
        <f>ROUND(('Income Statement Assumptions'!H$43*('Income Statement Assumptions'!$B110*(1+'Income Statement Assumptions'!$F$107))),0)</f>
        <v>1200</v>
      </c>
      <c r="V23" s="43">
        <f>ROUND(('Income Statement Assumptions'!I$43*('Income Statement Assumptions'!$B110*(1+'Income Statement Assumptions'!$F$107))),0)</f>
        <v>1350</v>
      </c>
      <c r="W23" s="43">
        <f>ROUND(('Income Statement Assumptions'!J$43*('Income Statement Assumptions'!$B110*(1+'Income Statement Assumptions'!$F$107))),0)</f>
        <v>1518</v>
      </c>
      <c r="X23" s="43">
        <f>ROUND(('Income Statement Assumptions'!K$43*('Income Statement Assumptions'!$B110*(1+'Income Statement Assumptions'!$F$107))),0)</f>
        <v>1708</v>
      </c>
      <c r="Y23" s="43">
        <f>ROUND(('Income Statement Assumptions'!L$43*('Income Statement Assumptions'!$B110*(1+'Income Statement Assumptions'!$F$107))),0)</f>
        <v>1922</v>
      </c>
      <c r="Z23" s="43">
        <f>ROUND(('Income Statement Assumptions'!M$43*('Income Statement Assumptions'!$B110*(1+'Income Statement Assumptions'!$F$107))),0)</f>
        <v>2162</v>
      </c>
      <c r="AA23" s="43">
        <f t="shared" si="22"/>
        <v>14723</v>
      </c>
      <c r="AB23" s="43">
        <f>ROUND(('Income Statement Assumptions'!$B110*(1+'Income Statement Assumptions'!$D110)*(1+'Income Statement Assumptions'!$G110))*'Income Statement Assumptions'!D$48,0)</f>
        <v>7683</v>
      </c>
      <c r="AC23" s="43">
        <f>ROUND(('Income Statement Assumptions'!$B110*(1+'Income Statement Assumptions'!$D110)*(1+'Income Statement Assumptions'!$G110))*'Income Statement Assumptions'!G$48,0)</f>
        <v>9604</v>
      </c>
      <c r="AD23" s="43">
        <f>ROUND(('Income Statement Assumptions'!$B110*(1+'Income Statement Assumptions'!$D110)*(1+'Income Statement Assumptions'!$G110))*'Income Statement Assumptions'!J$48,0)</f>
        <v>12005</v>
      </c>
      <c r="AE23" s="43">
        <f>ROUND(('Income Statement Assumptions'!$B110*(1+'Income Statement Assumptions'!$D110)*(1+'Income Statement Assumptions'!$G110))*'Income Statement Assumptions'!M$48,0)</f>
        <v>15007</v>
      </c>
      <c r="AF23" s="43">
        <f t="shared" si="20"/>
        <v>44299</v>
      </c>
      <c r="AG23" s="55">
        <f>ROUND(('Income Statement Assumptions'!$B110*(1+'Income Statement Assumptions'!$D110)*(1+'Income Statement Assumptions'!$D110)*(1+'Income Statement Assumptions'!$H110)*'Income Statement Assumptions'!D$53),0)</f>
        <v>18121</v>
      </c>
      <c r="AH23" s="43">
        <f>ROUND(('Income Statement Assumptions'!$B110*(1+'Income Statement Assumptions'!$D110)*(1+'Income Statement Assumptions'!$D110)*(1+'Income Statement Assumptions'!$H110)*'Income Statement Assumptions'!G$53),0)</f>
        <v>20839</v>
      </c>
      <c r="AI23" s="43">
        <f>ROUND(('Income Statement Assumptions'!$B110*(1+'Income Statement Assumptions'!$D110)*(1+'Income Statement Assumptions'!$D110)*(1+'Income Statement Assumptions'!$H110)*'Income Statement Assumptions'!J$53),0)</f>
        <v>23964</v>
      </c>
      <c r="AJ23" s="43">
        <f>ROUND(('Income Statement Assumptions'!$B110*(1+'Income Statement Assumptions'!$D110)*(1+'Income Statement Assumptions'!$D110)*(1+'Income Statement Assumptions'!$H110)*'Income Statement Assumptions'!M$53),0)</f>
        <v>27559</v>
      </c>
      <c r="AK23" s="69">
        <f t="shared" si="21"/>
        <v>90483</v>
      </c>
      <c r="AL23" s="43">
        <f>ROUND(('Income Statement Assumptions'!$B110*(1+'Income Statement Assumptions'!$D110)*(1+'Income Statement Assumptions'!$D110)*(1+'Income Statement Assumptions'!D110))*(1+'Income Statement Assumptions'!I110)*'Income Statement Assumptions'!N$58,0)</f>
        <v>128084</v>
      </c>
    </row>
    <row r="24" spans="1:38" x14ac:dyDescent="0.25">
      <c r="B24" s="43"/>
      <c r="C24" s="43"/>
      <c r="D24" s="43"/>
      <c r="E24" s="43"/>
      <c r="F24" s="43"/>
      <c r="G24" s="43"/>
      <c r="H24" s="43"/>
      <c r="I24" s="43"/>
      <c r="J24" s="43"/>
      <c r="K24" s="43"/>
      <c r="L24" s="43"/>
      <c r="M24" s="43"/>
      <c r="N24" s="43"/>
      <c r="O24" s="43"/>
      <c r="P24" s="43"/>
      <c r="Q24" s="43"/>
      <c r="R24" s="43"/>
      <c r="S24" s="43"/>
      <c r="T24" s="43"/>
      <c r="U24" s="43"/>
      <c r="V24" s="43"/>
      <c r="W24" s="43"/>
      <c r="X24" s="43"/>
      <c r="Y24" s="43"/>
      <c r="Z24" s="43"/>
      <c r="AA24" s="43"/>
      <c r="AB24" s="43"/>
      <c r="AC24" s="43"/>
      <c r="AD24" s="43"/>
      <c r="AE24" s="43"/>
      <c r="AF24" s="43"/>
      <c r="AG24" s="55"/>
      <c r="AH24" s="43"/>
      <c r="AI24" s="43"/>
      <c r="AJ24" s="43"/>
      <c r="AK24" s="69"/>
      <c r="AL24" s="43"/>
    </row>
    <row r="25" spans="1:38" x14ac:dyDescent="0.25">
      <c r="A25" s="1" t="str">
        <f>A8</f>
        <v>Product 3</v>
      </c>
      <c r="B25" s="43"/>
      <c r="C25" s="43"/>
      <c r="D25" s="43"/>
      <c r="E25" s="43"/>
      <c r="F25" s="43"/>
      <c r="G25" s="43"/>
      <c r="H25" s="43"/>
      <c r="I25" s="43"/>
      <c r="J25" s="43"/>
      <c r="K25" s="43"/>
      <c r="L25" s="43"/>
      <c r="M25" s="43"/>
      <c r="N25" s="43"/>
      <c r="O25" s="43"/>
      <c r="P25" s="43"/>
      <c r="Q25" s="43"/>
      <c r="R25" s="43"/>
      <c r="S25" s="43"/>
      <c r="T25" s="43"/>
      <c r="U25" s="43"/>
      <c r="V25" s="43"/>
      <c r="W25" s="43"/>
      <c r="X25" s="43"/>
      <c r="Y25" s="43"/>
      <c r="Z25" s="43"/>
      <c r="AA25" s="43">
        <f>SUM(O25:Z25)</f>
        <v>0</v>
      </c>
      <c r="AB25" s="43"/>
      <c r="AC25" s="43"/>
      <c r="AD25" s="43"/>
      <c r="AE25" s="43"/>
      <c r="AF25" s="43"/>
      <c r="AG25" s="55"/>
      <c r="AH25" s="43"/>
      <c r="AI25" s="43"/>
      <c r="AJ25" s="43"/>
      <c r="AK25" s="69"/>
      <c r="AL25" s="43"/>
    </row>
    <row r="26" spans="1:38" x14ac:dyDescent="0.25">
      <c r="A26" s="1" t="str">
        <f>'Income Statement Assumptions'!A113</f>
        <v>repair labor</v>
      </c>
      <c r="B26" s="43">
        <f>'Income Statement Assumptions'!$B113*'Income Statement Assumptions'!B70</f>
        <v>0</v>
      </c>
      <c r="C26" s="43">
        <f>'Income Statement Assumptions'!$B113*'Income Statement Assumptions'!C70</f>
        <v>0</v>
      </c>
      <c r="D26" s="43">
        <f>'Income Statement Assumptions'!$B113*'Income Statement Assumptions'!D70</f>
        <v>0</v>
      </c>
      <c r="E26" s="43">
        <f>'Income Statement Assumptions'!$B113*'Income Statement Assumptions'!E70</f>
        <v>0</v>
      </c>
      <c r="F26" s="43">
        <f>'Income Statement Assumptions'!$B113*'Income Statement Assumptions'!F70</f>
        <v>0</v>
      </c>
      <c r="G26" s="43">
        <f>'Income Statement Assumptions'!$B113*'Income Statement Assumptions'!G70</f>
        <v>0</v>
      </c>
      <c r="H26" s="43">
        <f>'Income Statement Assumptions'!$B113*'Income Statement Assumptions'!H70</f>
        <v>210</v>
      </c>
      <c r="I26" s="43">
        <f>'Income Statement Assumptions'!$B113*'Income Statement Assumptions'!I70</f>
        <v>215</v>
      </c>
      <c r="J26" s="43">
        <f>'Income Statement Assumptions'!$B113*'Income Statement Assumptions'!J70</f>
        <v>300</v>
      </c>
      <c r="K26" s="43">
        <f>'Income Statement Assumptions'!$B113*'Income Statement Assumptions'!K70</f>
        <v>330</v>
      </c>
      <c r="L26" s="43">
        <f>'Income Statement Assumptions'!$B113*'Income Statement Assumptions'!L70</f>
        <v>340</v>
      </c>
      <c r="M26" s="43">
        <f>'Income Statement Assumptions'!$B113*'Income Statement Assumptions'!M70</f>
        <v>400</v>
      </c>
      <c r="N26" s="43">
        <f t="shared" ref="N26:N29" si="23">SUM(B26:M26)</f>
        <v>1795</v>
      </c>
      <c r="O26" s="43">
        <f>ROUND(('Income Statement Assumptions'!B$75*('Income Statement Assumptions'!$B113*(1+'Income Statement Assumptions'!$F$113))),0)</f>
        <v>454</v>
      </c>
      <c r="P26" s="43">
        <f>ROUND(('Income Statement Assumptions'!C$75*('Income Statement Assumptions'!$B113*(1+'Income Statement Assumptions'!$F$113))),0)</f>
        <v>510</v>
      </c>
      <c r="Q26" s="43">
        <f>ROUND(('Income Statement Assumptions'!D$75*('Income Statement Assumptions'!$B113*(1+'Income Statement Assumptions'!$F$113))),0)</f>
        <v>574</v>
      </c>
      <c r="R26" s="43">
        <f>ROUND(('Income Statement Assumptions'!E$75*('Income Statement Assumptions'!$B113*(1+'Income Statement Assumptions'!$F$113))),0)</f>
        <v>646</v>
      </c>
      <c r="S26" s="43">
        <f>ROUND(('Income Statement Assumptions'!F$75*('Income Statement Assumptions'!$B113*(1+'Income Statement Assumptions'!$F$113))),0)</f>
        <v>727</v>
      </c>
      <c r="T26" s="43">
        <f>ROUND(('Income Statement Assumptions'!G$75*('Income Statement Assumptions'!$B113*(1+'Income Statement Assumptions'!$F$113))),0)</f>
        <v>817</v>
      </c>
      <c r="U26" s="43">
        <f>ROUND(('Income Statement Assumptions'!H$75*('Income Statement Assumptions'!$B113*(1+'Income Statement Assumptions'!$F$113))),0)</f>
        <v>920</v>
      </c>
      <c r="V26" s="43">
        <f>ROUND(('Income Statement Assumptions'!I$75*('Income Statement Assumptions'!$B113*(1+'Income Statement Assumptions'!$F$113))),0)</f>
        <v>1035</v>
      </c>
      <c r="W26" s="43">
        <f>ROUND(('Income Statement Assumptions'!J$75*('Income Statement Assumptions'!$B113*(1+'Income Statement Assumptions'!$F$113))),0)</f>
        <v>1164</v>
      </c>
      <c r="X26" s="43">
        <f>ROUND(('Income Statement Assumptions'!K$75*('Income Statement Assumptions'!$B113*(1+'Income Statement Assumptions'!$F$113))),0)</f>
        <v>1309</v>
      </c>
      <c r="Y26" s="43">
        <f>ROUND(('Income Statement Assumptions'!L$75*('Income Statement Assumptions'!$B113*(1+'Income Statement Assumptions'!$F$113))),0)</f>
        <v>1473</v>
      </c>
      <c r="Z26" s="43">
        <f>ROUND(('Income Statement Assumptions'!M$75*('Income Statement Assumptions'!$B113*(1+'Income Statement Assumptions'!$F$113))),0)</f>
        <v>1657</v>
      </c>
      <c r="AA26" s="43">
        <f t="shared" ref="AA26:AA29" si="24">SUM(O26:Z26)</f>
        <v>11286</v>
      </c>
      <c r="AB26" s="43">
        <f>ROUND(('Income Statement Assumptions'!$B113*(1+'Income Statement Assumptions'!$D113)*(1+'Income Statement Assumptions'!$G113))*'Income Statement Assumptions'!D$80,0)</f>
        <v>6205</v>
      </c>
      <c r="AC26" s="43">
        <f>ROUND(('Income Statement Assumptions'!$B113*(1+'Income Statement Assumptions'!$D113)*(1+'Income Statement Assumptions'!$G113))*'Income Statement Assumptions'!G$80,0)</f>
        <v>7756</v>
      </c>
      <c r="AD26" s="43">
        <f>ROUND(('Income Statement Assumptions'!$B113*(1+'Income Statement Assumptions'!$D113)*(1+'Income Statement Assumptions'!$G113))*'Income Statement Assumptions'!J$80,0)</f>
        <v>9695</v>
      </c>
      <c r="AE26" s="43">
        <f>ROUND(('Income Statement Assumptions'!$B113*(1+'Income Statement Assumptions'!$D113)*(1+'Income Statement Assumptions'!$G113))*'Income Statement Assumptions'!M$80,0)</f>
        <v>12119</v>
      </c>
      <c r="AF26" s="43">
        <f t="shared" ref="AF26:AF29" si="25">SUM(AB26:AE26)</f>
        <v>35775</v>
      </c>
      <c r="AG26" s="55">
        <f>ROUND(('Income Statement Assumptions'!$B113*(1+'Income Statement Assumptions'!$D113)*(1+'Income Statement Assumptions'!$D113)*(1+'Income Statement Assumptions'!$H113)*'Income Statement Assumptions'!D$85),0)</f>
        <v>15330</v>
      </c>
      <c r="AH26" s="43">
        <f>ROUND(('Income Statement Assumptions'!$B113*(1+'Income Statement Assumptions'!$D113)*(1+'Income Statement Assumptions'!$D113)*(1+'Income Statement Assumptions'!$H113)*'Income Statement Assumptions'!G$85),0)</f>
        <v>17630</v>
      </c>
      <c r="AI26" s="43">
        <f>ROUND(('Income Statement Assumptions'!$B113*(1+'Income Statement Assumptions'!$D113)*(1+'Income Statement Assumptions'!$D113)*(1+'Income Statement Assumptions'!$H113)*'Income Statement Assumptions'!J$85),0)</f>
        <v>20275</v>
      </c>
      <c r="AJ26" s="43">
        <f>ROUND(('Income Statement Assumptions'!$B113*(1+'Income Statement Assumptions'!$D113)*(1+'Income Statement Assumptions'!$D113)*(1+'Income Statement Assumptions'!$H113)*'Income Statement Assumptions'!M$85),0)</f>
        <v>23316</v>
      </c>
      <c r="AK26" s="69">
        <f t="shared" ref="AK26:AK29" si="26">SUM(AG26:AJ26)</f>
        <v>76551</v>
      </c>
      <c r="AL26" s="43">
        <f>ROUND(('Income Statement Assumptions'!$B113*(1+'Income Statement Assumptions'!$D113)*(1+'Income Statement Assumptions'!$D113)*(1+'Income Statement Assumptions'!D113))*(1+'Income Statement Assumptions'!I113)*'Income Statement Assumptions'!N$90,0)</f>
        <v>117478</v>
      </c>
    </row>
    <row r="27" spans="1:38" x14ac:dyDescent="0.25">
      <c r="A27" s="1" t="str">
        <f>'Income Statement Assumptions'!A114</f>
        <v>shipping</v>
      </c>
      <c r="B27" s="43">
        <f>'Income Statement Assumptions'!$B114*'Income Statement Assumptions'!B70</f>
        <v>0</v>
      </c>
      <c r="C27" s="43">
        <f>'Income Statement Assumptions'!$B114*'Income Statement Assumptions'!C70</f>
        <v>0</v>
      </c>
      <c r="D27" s="43">
        <f>'Income Statement Assumptions'!$B114*'Income Statement Assumptions'!D70</f>
        <v>0</v>
      </c>
      <c r="E27" s="43">
        <f>'Income Statement Assumptions'!$B114*'Income Statement Assumptions'!E70</f>
        <v>0</v>
      </c>
      <c r="F27" s="43">
        <f>'Income Statement Assumptions'!$B114*'Income Statement Assumptions'!F70</f>
        <v>0</v>
      </c>
      <c r="G27" s="43">
        <f>'Income Statement Assumptions'!$B114*'Income Statement Assumptions'!G70</f>
        <v>0</v>
      </c>
      <c r="H27" s="43">
        <f>'Income Statement Assumptions'!$B114*'Income Statement Assumptions'!H70</f>
        <v>105</v>
      </c>
      <c r="I27" s="43">
        <f>'Income Statement Assumptions'!$B114*'Income Statement Assumptions'!I70</f>
        <v>107.5</v>
      </c>
      <c r="J27" s="43">
        <f>'Income Statement Assumptions'!$B114*'Income Statement Assumptions'!J70</f>
        <v>150</v>
      </c>
      <c r="K27" s="43">
        <f>'Income Statement Assumptions'!$B114*'Income Statement Assumptions'!K70</f>
        <v>165</v>
      </c>
      <c r="L27" s="43">
        <f>'Income Statement Assumptions'!$B114*'Income Statement Assumptions'!L70</f>
        <v>170</v>
      </c>
      <c r="M27" s="43">
        <f>'Income Statement Assumptions'!$B114*'Income Statement Assumptions'!M70</f>
        <v>200</v>
      </c>
      <c r="N27" s="43">
        <f t="shared" si="23"/>
        <v>897.5</v>
      </c>
      <c r="O27" s="43">
        <f>ROUND(('Income Statement Assumptions'!B$75*('Income Statement Assumptions'!$B114*(1+'Income Statement Assumptions'!$F$113))),0)</f>
        <v>227</v>
      </c>
      <c r="P27" s="43">
        <f>ROUND(('Income Statement Assumptions'!C$75*('Income Statement Assumptions'!$B114*(1+'Income Statement Assumptions'!$F$113))),0)</f>
        <v>255</v>
      </c>
      <c r="Q27" s="43">
        <f>ROUND(('Income Statement Assumptions'!D$75*('Income Statement Assumptions'!$B114*(1+'Income Statement Assumptions'!$F$113))),0)</f>
        <v>287</v>
      </c>
      <c r="R27" s="43">
        <f>ROUND(('Income Statement Assumptions'!E$75*('Income Statement Assumptions'!$B114*(1+'Income Statement Assumptions'!$F$113))),0)</f>
        <v>323</v>
      </c>
      <c r="S27" s="43">
        <f>ROUND(('Income Statement Assumptions'!F$75*('Income Statement Assumptions'!$B114*(1+'Income Statement Assumptions'!$F$113))),0)</f>
        <v>363</v>
      </c>
      <c r="T27" s="43">
        <f>ROUND(('Income Statement Assumptions'!G$75*('Income Statement Assumptions'!$B114*(1+'Income Statement Assumptions'!$F$113))),0)</f>
        <v>409</v>
      </c>
      <c r="U27" s="43">
        <f>ROUND(('Income Statement Assumptions'!H$75*('Income Statement Assumptions'!$B114*(1+'Income Statement Assumptions'!$F$113))),0)</f>
        <v>460</v>
      </c>
      <c r="V27" s="43">
        <f>ROUND(('Income Statement Assumptions'!I$75*('Income Statement Assumptions'!$B114*(1+'Income Statement Assumptions'!$F$113))),0)</f>
        <v>517</v>
      </c>
      <c r="W27" s="43">
        <f>ROUND(('Income Statement Assumptions'!J$75*('Income Statement Assumptions'!$B114*(1+'Income Statement Assumptions'!$F$113))),0)</f>
        <v>582</v>
      </c>
      <c r="X27" s="43">
        <f>ROUND(('Income Statement Assumptions'!K$75*('Income Statement Assumptions'!$B114*(1+'Income Statement Assumptions'!$F$113))),0)</f>
        <v>655</v>
      </c>
      <c r="Y27" s="43">
        <f>ROUND(('Income Statement Assumptions'!L$75*('Income Statement Assumptions'!$B114*(1+'Income Statement Assumptions'!$F$113))),0)</f>
        <v>736</v>
      </c>
      <c r="Z27" s="43">
        <f>ROUND(('Income Statement Assumptions'!M$75*('Income Statement Assumptions'!$B114*(1+'Income Statement Assumptions'!$F$113))),0)</f>
        <v>829</v>
      </c>
      <c r="AA27" s="43">
        <f t="shared" si="24"/>
        <v>5643</v>
      </c>
      <c r="AB27" s="43">
        <f>ROUND(('Income Statement Assumptions'!$B114*(1+'Income Statement Assumptions'!$D114)*(1+'Income Statement Assumptions'!$G114))*'Income Statement Assumptions'!D$80,0)</f>
        <v>2925</v>
      </c>
      <c r="AC27" s="43">
        <f>ROUND(('Income Statement Assumptions'!$B114*(1+'Income Statement Assumptions'!$D114)*(1+'Income Statement Assumptions'!$G114))*'Income Statement Assumptions'!G$80,0)</f>
        <v>3657</v>
      </c>
      <c r="AD27" s="43">
        <f>ROUND(('Income Statement Assumptions'!$B114*(1+'Income Statement Assumptions'!$D114)*(1+'Income Statement Assumptions'!$G114))*'Income Statement Assumptions'!J$80,0)</f>
        <v>4571</v>
      </c>
      <c r="AE27" s="43">
        <f>ROUND(('Income Statement Assumptions'!$B114*(1+'Income Statement Assumptions'!$D114)*(1+'Income Statement Assumptions'!$G114))*'Income Statement Assumptions'!M$80,0)</f>
        <v>5714</v>
      </c>
      <c r="AF27" s="43">
        <f t="shared" si="25"/>
        <v>16867</v>
      </c>
      <c r="AG27" s="55">
        <f>ROUND(('Income Statement Assumptions'!$B114*(1+'Income Statement Assumptions'!$D114)*(1+'Income Statement Assumptions'!$D114)*(1+'Income Statement Assumptions'!$H114)*'Income Statement Assumptions'!D$85),0)</f>
        <v>6899</v>
      </c>
      <c r="AH27" s="43">
        <f>ROUND(('Income Statement Assumptions'!$B114*(1+'Income Statement Assumptions'!$D114)*(1+'Income Statement Assumptions'!$D114)*(1+'Income Statement Assumptions'!$H114)*'Income Statement Assumptions'!G$85),0)</f>
        <v>7934</v>
      </c>
      <c r="AI27" s="43">
        <f>ROUND(('Income Statement Assumptions'!$B114*(1+'Income Statement Assumptions'!$D114)*(1+'Income Statement Assumptions'!$D114)*(1+'Income Statement Assumptions'!$H114)*'Income Statement Assumptions'!J$85),0)</f>
        <v>9124</v>
      </c>
      <c r="AJ27" s="43">
        <f>ROUND(('Income Statement Assumptions'!$B114*(1+'Income Statement Assumptions'!$D114)*(1+'Income Statement Assumptions'!$D114)*(1+'Income Statement Assumptions'!$H114)*'Income Statement Assumptions'!M$85),0)</f>
        <v>10493</v>
      </c>
      <c r="AK27" s="69">
        <f t="shared" si="26"/>
        <v>34450</v>
      </c>
      <c r="AL27" s="43">
        <f>ROUND(('Income Statement Assumptions'!$B114*(1+'Income Statement Assumptions'!$D114)*(1+'Income Statement Assumptions'!$D114)*(1+'Income Statement Assumptions'!D114))*(1+'Income Statement Assumptions'!I114)*'Income Statement Assumptions'!N$90,0)</f>
        <v>48765</v>
      </c>
    </row>
    <row r="28" spans="1:38" x14ac:dyDescent="0.25">
      <c r="A28" s="1">
        <f>'Income Statement Assumptions'!A115</f>
        <v>0</v>
      </c>
      <c r="B28" s="43">
        <f>'Income Statement Assumptions'!$B115*'Income Statement Assumptions'!B70</f>
        <v>0</v>
      </c>
      <c r="C28" s="43">
        <f>'Income Statement Assumptions'!$B115*'Income Statement Assumptions'!C70</f>
        <v>0</v>
      </c>
      <c r="D28" s="43">
        <f>'Income Statement Assumptions'!$B115*'Income Statement Assumptions'!D70</f>
        <v>0</v>
      </c>
      <c r="E28" s="43">
        <f>'Income Statement Assumptions'!$B115*'Income Statement Assumptions'!E70</f>
        <v>0</v>
      </c>
      <c r="F28" s="43">
        <f>'Income Statement Assumptions'!$B115*'Income Statement Assumptions'!F70</f>
        <v>0</v>
      </c>
      <c r="G28" s="43">
        <f>'Income Statement Assumptions'!$B115*'Income Statement Assumptions'!G70</f>
        <v>0</v>
      </c>
      <c r="H28" s="43">
        <f>'Income Statement Assumptions'!$B115*'Income Statement Assumptions'!H70</f>
        <v>0</v>
      </c>
      <c r="I28" s="43">
        <f>'Income Statement Assumptions'!$B115*'Income Statement Assumptions'!I70</f>
        <v>0</v>
      </c>
      <c r="J28" s="43">
        <f>'Income Statement Assumptions'!$B115*'Income Statement Assumptions'!J70</f>
        <v>0</v>
      </c>
      <c r="K28" s="43">
        <f>'Income Statement Assumptions'!$B115*'Income Statement Assumptions'!K70</f>
        <v>0</v>
      </c>
      <c r="L28" s="43">
        <f>'Income Statement Assumptions'!$B115*'Income Statement Assumptions'!L70</f>
        <v>0</v>
      </c>
      <c r="M28" s="43">
        <f>'Income Statement Assumptions'!$B115*'Income Statement Assumptions'!M70</f>
        <v>0</v>
      </c>
      <c r="N28" s="43">
        <f t="shared" si="23"/>
        <v>0</v>
      </c>
      <c r="O28" s="43">
        <f>ROUND(('Income Statement Assumptions'!B$75*('Income Statement Assumptions'!$B115*(1+'Income Statement Assumptions'!$F$113))),0)</f>
        <v>0</v>
      </c>
      <c r="P28" s="43">
        <f>ROUND(('Income Statement Assumptions'!C$75*('Income Statement Assumptions'!$B115*(1+'Income Statement Assumptions'!$F$113))),0)</f>
        <v>0</v>
      </c>
      <c r="Q28" s="43">
        <f>ROUND(('Income Statement Assumptions'!D$75*('Income Statement Assumptions'!$B115*(1+'Income Statement Assumptions'!$F$113))),0)</f>
        <v>0</v>
      </c>
      <c r="R28" s="43">
        <f>ROUND(('Income Statement Assumptions'!E$75*('Income Statement Assumptions'!$B115*(1+'Income Statement Assumptions'!$F$113))),0)</f>
        <v>0</v>
      </c>
      <c r="S28" s="43">
        <f>ROUND(('Income Statement Assumptions'!F$75*('Income Statement Assumptions'!$B115*(1+'Income Statement Assumptions'!$F$113))),0)</f>
        <v>0</v>
      </c>
      <c r="T28" s="43">
        <f>ROUND(('Income Statement Assumptions'!G$75*('Income Statement Assumptions'!$B115*(1+'Income Statement Assumptions'!$F$113))),0)</f>
        <v>0</v>
      </c>
      <c r="U28" s="43">
        <f>ROUND(('Income Statement Assumptions'!H$75*('Income Statement Assumptions'!$B115*(1+'Income Statement Assumptions'!$F$113))),0)</f>
        <v>0</v>
      </c>
      <c r="V28" s="43">
        <f>ROUND(('Income Statement Assumptions'!I$75*('Income Statement Assumptions'!$B115*(1+'Income Statement Assumptions'!$F$113))),0)</f>
        <v>0</v>
      </c>
      <c r="W28" s="43">
        <f>ROUND(('Income Statement Assumptions'!J$75*('Income Statement Assumptions'!$B115*(1+'Income Statement Assumptions'!$F$113))),0)</f>
        <v>0</v>
      </c>
      <c r="X28" s="43">
        <f>ROUND(('Income Statement Assumptions'!K$75*('Income Statement Assumptions'!$B115*(1+'Income Statement Assumptions'!$F$113))),0)</f>
        <v>0</v>
      </c>
      <c r="Y28" s="43">
        <f>ROUND(('Income Statement Assumptions'!L$75*('Income Statement Assumptions'!$B115*(1+'Income Statement Assumptions'!$F$113))),0)</f>
        <v>0</v>
      </c>
      <c r="Z28" s="43">
        <f>ROUND(('Income Statement Assumptions'!M$75*('Income Statement Assumptions'!$B115*(1+'Income Statement Assumptions'!$F$113))),0)</f>
        <v>0</v>
      </c>
      <c r="AA28" s="43">
        <f t="shared" si="24"/>
        <v>0</v>
      </c>
      <c r="AB28" s="43">
        <f>ROUND(('Income Statement Assumptions'!$B115*(1+'Income Statement Assumptions'!$D115)*(1+'Income Statement Assumptions'!$G115))*'Income Statement Assumptions'!D$80,0)</f>
        <v>0</v>
      </c>
      <c r="AC28" s="43">
        <f>ROUND(('Income Statement Assumptions'!$B115*(1+'Income Statement Assumptions'!$D115)*(1+'Income Statement Assumptions'!$G115))*'Income Statement Assumptions'!G$80,0)</f>
        <v>0</v>
      </c>
      <c r="AD28" s="43">
        <f>ROUND(('Income Statement Assumptions'!$B115*(1+'Income Statement Assumptions'!$D115)*(1+'Income Statement Assumptions'!$G115))*'Income Statement Assumptions'!J$80,0)</f>
        <v>0</v>
      </c>
      <c r="AE28" s="43">
        <f>ROUND(('Income Statement Assumptions'!$B115*(1+'Income Statement Assumptions'!$D115)*(1+'Income Statement Assumptions'!$G115))*'Income Statement Assumptions'!M$80,0)</f>
        <v>0</v>
      </c>
      <c r="AF28" s="43">
        <f t="shared" si="25"/>
        <v>0</v>
      </c>
      <c r="AG28" s="55">
        <f>ROUND(('Income Statement Assumptions'!$B115*(1+'Income Statement Assumptions'!$D115)*(1+'Income Statement Assumptions'!$D115)*(1+'Income Statement Assumptions'!$H115)*'Income Statement Assumptions'!D$85),0)</f>
        <v>0</v>
      </c>
      <c r="AH28" s="43">
        <f>ROUND(('Income Statement Assumptions'!$B115*(1+'Income Statement Assumptions'!$D115)*(1+'Income Statement Assumptions'!$D115)*(1+'Income Statement Assumptions'!$H115)*'Income Statement Assumptions'!G$85),0)</f>
        <v>0</v>
      </c>
      <c r="AI28" s="43">
        <f>ROUND(('Income Statement Assumptions'!$B115*(1+'Income Statement Assumptions'!$D115)*(1+'Income Statement Assumptions'!$D115)*(1+'Income Statement Assumptions'!$H115)*'Income Statement Assumptions'!J$85),0)</f>
        <v>0</v>
      </c>
      <c r="AJ28" s="43">
        <f>ROUND(('Income Statement Assumptions'!$B115*(1+'Income Statement Assumptions'!$D115)*(1+'Income Statement Assumptions'!$D115)*(1+'Income Statement Assumptions'!$H115)*'Income Statement Assumptions'!M$85),0)</f>
        <v>0</v>
      </c>
      <c r="AK28" s="69">
        <f t="shared" si="26"/>
        <v>0</v>
      </c>
      <c r="AL28" s="43">
        <f>ROUND(('Income Statement Assumptions'!$B115*(1+'Income Statement Assumptions'!$D115)*(1+'Income Statement Assumptions'!$D115)*(1+'Income Statement Assumptions'!D115))*(1+'Income Statement Assumptions'!I115)*'Income Statement Assumptions'!N$90,0)</f>
        <v>0</v>
      </c>
    </row>
    <row r="29" spans="1:38" x14ac:dyDescent="0.25">
      <c r="A29" s="1">
        <f>'Income Statement Assumptions'!A116</f>
        <v>0</v>
      </c>
      <c r="B29" s="44">
        <f>'Income Statement Assumptions'!$B116*'Income Statement Assumptions'!B70</f>
        <v>0</v>
      </c>
      <c r="C29" s="44">
        <f>'Income Statement Assumptions'!$B116*'Income Statement Assumptions'!C70</f>
        <v>0</v>
      </c>
      <c r="D29" s="44">
        <f>'Income Statement Assumptions'!$B116*'Income Statement Assumptions'!D70</f>
        <v>0</v>
      </c>
      <c r="E29" s="44">
        <f>'Income Statement Assumptions'!$B116*'Income Statement Assumptions'!E70</f>
        <v>0</v>
      </c>
      <c r="F29" s="44">
        <f>'Income Statement Assumptions'!$B116*'Income Statement Assumptions'!F70</f>
        <v>0</v>
      </c>
      <c r="G29" s="44">
        <f>'Income Statement Assumptions'!$B116*'Income Statement Assumptions'!G70</f>
        <v>0</v>
      </c>
      <c r="H29" s="44">
        <f>'Income Statement Assumptions'!$B116*'Income Statement Assumptions'!H70</f>
        <v>0</v>
      </c>
      <c r="I29" s="44">
        <f>'Income Statement Assumptions'!$B116*'Income Statement Assumptions'!I70</f>
        <v>0</v>
      </c>
      <c r="J29" s="44">
        <f>'Income Statement Assumptions'!$B116*'Income Statement Assumptions'!J70</f>
        <v>0</v>
      </c>
      <c r="K29" s="44">
        <f>'Income Statement Assumptions'!$B116*'Income Statement Assumptions'!K70</f>
        <v>0</v>
      </c>
      <c r="L29" s="44">
        <f>'Income Statement Assumptions'!$B116*'Income Statement Assumptions'!L70</f>
        <v>0</v>
      </c>
      <c r="M29" s="44">
        <f>'Income Statement Assumptions'!$B116*'Income Statement Assumptions'!M70</f>
        <v>0</v>
      </c>
      <c r="N29" s="44">
        <f t="shared" si="23"/>
        <v>0</v>
      </c>
      <c r="O29" s="44">
        <f>ROUND(('Income Statement Assumptions'!B$75*('Income Statement Assumptions'!$B116*(1+'Income Statement Assumptions'!$F$113))),0)</f>
        <v>0</v>
      </c>
      <c r="P29" s="44">
        <f>ROUND(('Income Statement Assumptions'!C$75*('Income Statement Assumptions'!$B116*(1+'Income Statement Assumptions'!$F$113))),0)</f>
        <v>0</v>
      </c>
      <c r="Q29" s="44">
        <f>ROUND(('Income Statement Assumptions'!D$75*('Income Statement Assumptions'!$B116*(1+'Income Statement Assumptions'!$F$113))),0)</f>
        <v>0</v>
      </c>
      <c r="R29" s="44">
        <f>ROUND(('Income Statement Assumptions'!E$75*('Income Statement Assumptions'!$B116*(1+'Income Statement Assumptions'!$F$113))),0)</f>
        <v>0</v>
      </c>
      <c r="S29" s="44">
        <f>ROUND(('Income Statement Assumptions'!F$75*('Income Statement Assumptions'!$B116*(1+'Income Statement Assumptions'!$F$113))),0)</f>
        <v>0</v>
      </c>
      <c r="T29" s="44">
        <f>ROUND(('Income Statement Assumptions'!G$75*('Income Statement Assumptions'!$B116*(1+'Income Statement Assumptions'!$F$113))),0)</f>
        <v>0</v>
      </c>
      <c r="U29" s="44">
        <f>ROUND(('Income Statement Assumptions'!H$75*('Income Statement Assumptions'!$B116*(1+'Income Statement Assumptions'!$F$113))),0)</f>
        <v>0</v>
      </c>
      <c r="V29" s="44">
        <f>ROUND(('Income Statement Assumptions'!I$75*('Income Statement Assumptions'!$B116*(1+'Income Statement Assumptions'!$F$113))),0)</f>
        <v>0</v>
      </c>
      <c r="W29" s="44">
        <f>ROUND(('Income Statement Assumptions'!J$75*('Income Statement Assumptions'!$B116*(1+'Income Statement Assumptions'!$F$113))),0)</f>
        <v>0</v>
      </c>
      <c r="X29" s="44">
        <f>ROUND(('Income Statement Assumptions'!K$75*('Income Statement Assumptions'!$B116*(1+'Income Statement Assumptions'!$F$113))),0)</f>
        <v>0</v>
      </c>
      <c r="Y29" s="44">
        <f>ROUND(('Income Statement Assumptions'!L$75*('Income Statement Assumptions'!$B116*(1+'Income Statement Assumptions'!$F$113))),0)</f>
        <v>0</v>
      </c>
      <c r="Z29" s="44">
        <f>ROUND(('Income Statement Assumptions'!M$75*('Income Statement Assumptions'!$B116*(1+'Income Statement Assumptions'!$F$113))),0)</f>
        <v>0</v>
      </c>
      <c r="AA29" s="44">
        <f t="shared" si="24"/>
        <v>0</v>
      </c>
      <c r="AB29" s="44">
        <f>ROUND(('Income Statement Assumptions'!$B116*(1+'Income Statement Assumptions'!$D116)*(1+'Income Statement Assumptions'!$G116))*'Income Statement Assumptions'!D$80,0)</f>
        <v>0</v>
      </c>
      <c r="AC29" s="44">
        <f>ROUND(('Income Statement Assumptions'!$B116*(1+'Income Statement Assumptions'!$D116)*(1+'Income Statement Assumptions'!$G116))*'Income Statement Assumptions'!G$80,0)</f>
        <v>0</v>
      </c>
      <c r="AD29" s="44">
        <f>ROUND(('Income Statement Assumptions'!$B116*(1+'Income Statement Assumptions'!$D116)*(1+'Income Statement Assumptions'!$G116))*'Income Statement Assumptions'!J$80,0)</f>
        <v>0</v>
      </c>
      <c r="AE29" s="44">
        <f>ROUND(('Income Statement Assumptions'!$B116*(1+'Income Statement Assumptions'!$D116)*(1+'Income Statement Assumptions'!$G116))*'Income Statement Assumptions'!M$80,0)</f>
        <v>0</v>
      </c>
      <c r="AF29" s="44">
        <f t="shared" si="25"/>
        <v>0</v>
      </c>
      <c r="AG29" s="56">
        <f>ROUND(('Income Statement Assumptions'!$B116*(1+'Income Statement Assumptions'!$D116)*(1+'Income Statement Assumptions'!$D116)*(1+'Income Statement Assumptions'!$H116)*'Income Statement Assumptions'!D$85),0)</f>
        <v>0</v>
      </c>
      <c r="AH29" s="44">
        <f>ROUND(('Income Statement Assumptions'!$B116*(1+'Income Statement Assumptions'!$D116)*(1+'Income Statement Assumptions'!$D116)*(1+'Income Statement Assumptions'!$H116)*'Income Statement Assumptions'!G$85),0)</f>
        <v>0</v>
      </c>
      <c r="AI29" s="44">
        <f>ROUND(('Income Statement Assumptions'!$B116*(1+'Income Statement Assumptions'!$D116)*(1+'Income Statement Assumptions'!$D116)*(1+'Income Statement Assumptions'!$H116)*'Income Statement Assumptions'!J$85),0)</f>
        <v>0</v>
      </c>
      <c r="AJ29" s="44">
        <f>ROUND(('Income Statement Assumptions'!$B116*(1+'Income Statement Assumptions'!$D116)*(1+'Income Statement Assumptions'!$D116)*(1+'Income Statement Assumptions'!$H116)*'Income Statement Assumptions'!M$85),0)</f>
        <v>0</v>
      </c>
      <c r="AK29" s="70">
        <f t="shared" si="26"/>
        <v>0</v>
      </c>
      <c r="AL29" s="44">
        <f>ROUND(('Income Statement Assumptions'!$B116*(1+'Income Statement Assumptions'!$D116)*(1+'Income Statement Assumptions'!$D116)*(1+'Income Statement Assumptions'!D116))*(1+'Income Statement Assumptions'!I116)*'Income Statement Assumptions'!N$90,0)</f>
        <v>0</v>
      </c>
    </row>
    <row r="30" spans="1:38" x14ac:dyDescent="0.25">
      <c r="B30" s="43"/>
      <c r="C30" s="43"/>
      <c r="D30" s="43"/>
      <c r="E30" s="43"/>
      <c r="F30" s="43"/>
      <c r="G30" s="43"/>
      <c r="H30" s="43"/>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55"/>
      <c r="AH30" s="43"/>
      <c r="AI30" s="43"/>
      <c r="AJ30" s="43"/>
      <c r="AK30" s="69"/>
      <c r="AL30" s="43"/>
    </row>
    <row r="31" spans="1:38" s="48" customFormat="1" x14ac:dyDescent="0.25">
      <c r="A31" s="48" t="s">
        <v>119</v>
      </c>
      <c r="B31" s="51">
        <f>SUM(B14:B29)</f>
        <v>0</v>
      </c>
      <c r="C31" s="51">
        <f t="shared" ref="C31:AA31" si="27">SUM(C14:C29)</f>
        <v>0</v>
      </c>
      <c r="D31" s="51">
        <f t="shared" si="27"/>
        <v>0</v>
      </c>
      <c r="E31" s="51">
        <f t="shared" si="27"/>
        <v>0</v>
      </c>
      <c r="F31" s="51">
        <f t="shared" si="27"/>
        <v>0</v>
      </c>
      <c r="G31" s="51">
        <f t="shared" si="27"/>
        <v>0</v>
      </c>
      <c r="H31" s="51">
        <f t="shared" si="27"/>
        <v>13290</v>
      </c>
      <c r="I31" s="51">
        <f t="shared" si="27"/>
        <v>13635</v>
      </c>
      <c r="J31" s="51">
        <f t="shared" si="27"/>
        <v>17512.5</v>
      </c>
      <c r="K31" s="51">
        <f t="shared" si="27"/>
        <v>20970</v>
      </c>
      <c r="L31" s="51">
        <f t="shared" si="27"/>
        <v>21660</v>
      </c>
      <c r="M31" s="51">
        <f t="shared" si="27"/>
        <v>25500</v>
      </c>
      <c r="N31" s="51">
        <f t="shared" si="27"/>
        <v>112567.5</v>
      </c>
      <c r="O31" s="51">
        <f t="shared" si="27"/>
        <v>28747</v>
      </c>
      <c r="P31" s="51">
        <f t="shared" si="27"/>
        <v>32335</v>
      </c>
      <c r="Q31" s="51">
        <f t="shared" si="27"/>
        <v>36378</v>
      </c>
      <c r="R31" s="51">
        <f t="shared" si="27"/>
        <v>40924</v>
      </c>
      <c r="S31" s="51">
        <f t="shared" si="27"/>
        <v>46041</v>
      </c>
      <c r="T31" s="51">
        <f t="shared" si="27"/>
        <v>51800</v>
      </c>
      <c r="U31" s="51">
        <f t="shared" si="27"/>
        <v>58278</v>
      </c>
      <c r="V31" s="51">
        <f t="shared" si="27"/>
        <v>65566</v>
      </c>
      <c r="W31" s="51">
        <f t="shared" si="27"/>
        <v>73765</v>
      </c>
      <c r="X31" s="51">
        <f t="shared" si="27"/>
        <v>82987</v>
      </c>
      <c r="Y31" s="51">
        <f t="shared" si="27"/>
        <v>93359</v>
      </c>
      <c r="Z31" s="51">
        <f t="shared" si="27"/>
        <v>105035</v>
      </c>
      <c r="AA31" s="51">
        <f t="shared" si="27"/>
        <v>715215</v>
      </c>
      <c r="AB31" s="51">
        <f t="shared" ref="AB31:AL31" si="28">SUM(AB14:AB29)</f>
        <v>360876</v>
      </c>
      <c r="AC31" s="51">
        <f t="shared" si="28"/>
        <v>451097</v>
      </c>
      <c r="AD31" s="51">
        <f t="shared" si="28"/>
        <v>563876</v>
      </c>
      <c r="AE31" s="51">
        <f t="shared" si="28"/>
        <v>704849</v>
      </c>
      <c r="AF31" s="51">
        <f t="shared" si="28"/>
        <v>2080698</v>
      </c>
      <c r="AG31" s="60">
        <f t="shared" si="28"/>
        <v>828693</v>
      </c>
      <c r="AH31" s="51">
        <f t="shared" si="28"/>
        <v>952999</v>
      </c>
      <c r="AI31" s="51">
        <f t="shared" si="28"/>
        <v>1095947</v>
      </c>
      <c r="AJ31" s="51">
        <f t="shared" si="28"/>
        <v>1260341</v>
      </c>
      <c r="AK31" s="74">
        <f t="shared" si="28"/>
        <v>4137980</v>
      </c>
      <c r="AL31" s="51">
        <f t="shared" si="28"/>
        <v>5592927</v>
      </c>
    </row>
    <row r="32" spans="1:38" x14ac:dyDescent="0.25">
      <c r="B32" s="43"/>
      <c r="C32" s="43"/>
      <c r="D32" s="43"/>
      <c r="E32" s="43"/>
      <c r="F32" s="43"/>
      <c r="G32" s="43"/>
      <c r="H32" s="43"/>
      <c r="I32" s="43"/>
      <c r="J32" s="43"/>
      <c r="K32" s="43"/>
      <c r="L32" s="43"/>
      <c r="M32" s="43"/>
      <c r="N32" s="43"/>
      <c r="O32" s="43"/>
      <c r="P32" s="43"/>
      <c r="Q32" s="43"/>
      <c r="R32" s="43"/>
      <c r="S32" s="43"/>
      <c r="T32" s="43"/>
      <c r="U32" s="43"/>
      <c r="V32" s="43"/>
      <c r="W32" s="43"/>
      <c r="X32" s="43"/>
      <c r="Y32" s="43"/>
      <c r="Z32" s="43"/>
      <c r="AA32" s="43"/>
      <c r="AB32" s="43"/>
      <c r="AC32" s="43"/>
      <c r="AD32" s="43"/>
      <c r="AE32" s="43"/>
      <c r="AF32" s="43"/>
      <c r="AG32" s="55"/>
      <c r="AH32" s="43"/>
      <c r="AI32" s="43"/>
      <c r="AJ32" s="43"/>
      <c r="AK32" s="69"/>
      <c r="AL32" s="43"/>
    </row>
    <row r="33" spans="1:38" s="48" customFormat="1" x14ac:dyDescent="0.25">
      <c r="A33" s="48" t="s">
        <v>120</v>
      </c>
      <c r="B33" s="48">
        <f>B10-B31</f>
        <v>0</v>
      </c>
      <c r="C33" s="48">
        <f t="shared" ref="C33:AA33" si="29">C10-C31</f>
        <v>0</v>
      </c>
      <c r="D33" s="48">
        <f t="shared" si="29"/>
        <v>0</v>
      </c>
      <c r="E33" s="48">
        <f t="shared" si="29"/>
        <v>0</v>
      </c>
      <c r="F33" s="48">
        <f t="shared" si="29"/>
        <v>0</v>
      </c>
      <c r="G33" s="48">
        <f t="shared" si="29"/>
        <v>0</v>
      </c>
      <c r="H33" s="48">
        <f t="shared" si="29"/>
        <v>10810</v>
      </c>
      <c r="I33" s="48">
        <f t="shared" si="29"/>
        <v>11515</v>
      </c>
      <c r="J33" s="48">
        <f t="shared" si="29"/>
        <v>15487.5</v>
      </c>
      <c r="K33" s="48">
        <f t="shared" si="29"/>
        <v>18330</v>
      </c>
      <c r="L33" s="48">
        <f t="shared" si="29"/>
        <v>19740</v>
      </c>
      <c r="M33" s="48">
        <f t="shared" si="29"/>
        <v>23500</v>
      </c>
      <c r="N33" s="48">
        <f t="shared" si="29"/>
        <v>99382.5</v>
      </c>
      <c r="O33" s="48">
        <f t="shared" si="29"/>
        <v>26393</v>
      </c>
      <c r="P33" s="48">
        <f t="shared" si="29"/>
        <v>29687</v>
      </c>
      <c r="Q33" s="48">
        <f t="shared" si="29"/>
        <v>33396</v>
      </c>
      <c r="R33" s="48">
        <f t="shared" si="29"/>
        <v>37572</v>
      </c>
      <c r="S33" s="48">
        <f t="shared" si="29"/>
        <v>42265</v>
      </c>
      <c r="T33" s="48">
        <f t="shared" si="29"/>
        <v>47556</v>
      </c>
      <c r="U33" s="48">
        <f t="shared" si="29"/>
        <v>53502</v>
      </c>
      <c r="V33" s="48">
        <f t="shared" si="29"/>
        <v>60194</v>
      </c>
      <c r="W33" s="48">
        <f t="shared" si="29"/>
        <v>67727</v>
      </c>
      <c r="X33" s="48">
        <f t="shared" si="29"/>
        <v>76197</v>
      </c>
      <c r="Y33" s="48">
        <f t="shared" si="29"/>
        <v>85719</v>
      </c>
      <c r="Z33" s="48">
        <f t="shared" si="29"/>
        <v>96439</v>
      </c>
      <c r="AA33" s="48">
        <f t="shared" si="29"/>
        <v>656647</v>
      </c>
      <c r="AB33" s="48">
        <f t="shared" ref="AB33:AL33" si="30">AB10-AB31</f>
        <v>375749</v>
      </c>
      <c r="AC33" s="48">
        <f t="shared" si="30"/>
        <v>469687</v>
      </c>
      <c r="AD33" s="48">
        <f t="shared" si="30"/>
        <v>587121</v>
      </c>
      <c r="AE33" s="48">
        <f t="shared" si="30"/>
        <v>733901</v>
      </c>
      <c r="AF33" s="48">
        <f t="shared" si="30"/>
        <v>2166458</v>
      </c>
      <c r="AG33" s="57">
        <f t="shared" si="30"/>
        <v>965051</v>
      </c>
      <c r="AH33" s="48">
        <f t="shared" si="30"/>
        <v>1109811</v>
      </c>
      <c r="AI33" s="48">
        <f t="shared" si="30"/>
        <v>1276281</v>
      </c>
      <c r="AJ33" s="48">
        <f t="shared" si="30"/>
        <v>1467727</v>
      </c>
      <c r="AK33" s="71">
        <f t="shared" si="30"/>
        <v>4818870</v>
      </c>
      <c r="AL33" s="48">
        <f t="shared" si="30"/>
        <v>6502711</v>
      </c>
    </row>
    <row r="34" spans="1:38" x14ac:dyDescent="0.25">
      <c r="B34" s="43"/>
      <c r="C34" s="43"/>
      <c r="D34" s="43"/>
      <c r="E34" s="43"/>
      <c r="F34" s="43"/>
      <c r="G34" s="43"/>
      <c r="H34" s="43"/>
      <c r="I34" s="43"/>
      <c r="J34" s="43"/>
      <c r="K34" s="43"/>
      <c r="L34" s="43"/>
      <c r="M34" s="43"/>
      <c r="N34" s="43"/>
      <c r="O34" s="43"/>
      <c r="P34" s="43"/>
      <c r="Q34" s="43"/>
      <c r="R34" s="43"/>
      <c r="S34" s="43"/>
      <c r="T34" s="43"/>
      <c r="U34" s="43"/>
      <c r="V34" s="43"/>
      <c r="W34" s="43"/>
      <c r="X34" s="43"/>
      <c r="Y34" s="43"/>
      <c r="Z34" s="43"/>
      <c r="AA34" s="43"/>
      <c r="AB34" s="43"/>
      <c r="AC34" s="43"/>
      <c r="AD34" s="43"/>
      <c r="AE34" s="43"/>
      <c r="AF34" s="43"/>
      <c r="AG34" s="55"/>
      <c r="AH34" s="43"/>
      <c r="AI34" s="43"/>
      <c r="AJ34" s="43"/>
      <c r="AK34" s="69"/>
      <c r="AL34" s="43"/>
    </row>
    <row r="35" spans="1:38" ht="18.75" x14ac:dyDescent="0.25">
      <c r="A35" s="36" t="str">
        <f>'Income Statement Assumptions'!A120</f>
        <v>Administrative:</v>
      </c>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58"/>
      <c r="AH35" s="45"/>
      <c r="AI35" s="45"/>
      <c r="AJ35" s="45"/>
      <c r="AK35" s="72"/>
      <c r="AL35" s="45"/>
    </row>
    <row r="36" spans="1:38" s="49" customFormat="1" x14ac:dyDescent="0.25">
      <c r="A36" s="49" t="str">
        <f>'Income Statement Assumptions'!A121</f>
        <v>Start up Expenses</v>
      </c>
      <c r="B36" s="50">
        <f>'Income Statement Assumptions'!B121</f>
        <v>125000</v>
      </c>
      <c r="C36" s="50">
        <v>0</v>
      </c>
      <c r="D36" s="50">
        <v>0</v>
      </c>
      <c r="E36" s="50">
        <v>0</v>
      </c>
      <c r="F36" s="50">
        <v>0</v>
      </c>
      <c r="G36" s="50">
        <v>0</v>
      </c>
      <c r="H36" s="50">
        <v>0</v>
      </c>
      <c r="I36" s="50">
        <v>0</v>
      </c>
      <c r="J36" s="50">
        <v>0</v>
      </c>
      <c r="K36" s="50">
        <v>0</v>
      </c>
      <c r="L36" s="50">
        <v>0</v>
      </c>
      <c r="M36" s="50">
        <v>0</v>
      </c>
      <c r="N36" s="49">
        <f t="shared" ref="N36:N59" si="31">SUM(B36:M36)</f>
        <v>125000</v>
      </c>
      <c r="O36" s="50">
        <v>0</v>
      </c>
      <c r="P36" s="50">
        <v>0</v>
      </c>
      <c r="Q36" s="50">
        <v>0</v>
      </c>
      <c r="R36" s="50">
        <v>0</v>
      </c>
      <c r="S36" s="50">
        <v>0</v>
      </c>
      <c r="T36" s="50">
        <v>0</v>
      </c>
      <c r="U36" s="50">
        <v>0</v>
      </c>
      <c r="V36" s="50">
        <v>0</v>
      </c>
      <c r="W36" s="50">
        <v>0</v>
      </c>
      <c r="X36" s="50">
        <v>0</v>
      </c>
      <c r="Y36" s="50">
        <v>0</v>
      </c>
      <c r="Z36" s="50">
        <v>0</v>
      </c>
      <c r="AA36" s="50">
        <f>SUM(O36:Z36)</f>
        <v>0</v>
      </c>
      <c r="AB36" s="50">
        <v>0</v>
      </c>
      <c r="AC36" s="50">
        <v>0</v>
      </c>
      <c r="AD36" s="50">
        <v>0</v>
      </c>
      <c r="AE36" s="50">
        <v>0</v>
      </c>
      <c r="AF36" s="49">
        <f>SUM(AB36:AE36)</f>
        <v>0</v>
      </c>
      <c r="AG36" s="61">
        <v>0</v>
      </c>
      <c r="AH36" s="62">
        <v>0</v>
      </c>
      <c r="AI36" s="62">
        <v>0</v>
      </c>
      <c r="AJ36" s="62">
        <v>0</v>
      </c>
      <c r="AK36" s="73">
        <f>SUM(AG36:AJ36)</f>
        <v>0</v>
      </c>
      <c r="AL36" s="50">
        <v>0</v>
      </c>
    </row>
    <row r="37" spans="1:38" x14ac:dyDescent="0.25">
      <c r="A37" s="1" t="str">
        <f>'Income Statement Assumptions'!A122</f>
        <v>Rent of Office Plus Utilities</v>
      </c>
      <c r="B37" s="46">
        <f>ROUND('Income Statement Assumptions'!$B122/12,0)</f>
        <v>2000</v>
      </c>
      <c r="C37" s="46">
        <f>ROUND('Income Statement Assumptions'!$B122/12,0)</f>
        <v>2000</v>
      </c>
      <c r="D37" s="46">
        <f>ROUND('Income Statement Assumptions'!$B122/12,0)</f>
        <v>2000</v>
      </c>
      <c r="E37" s="46">
        <f>ROUND('Income Statement Assumptions'!$B122/12,0)</f>
        <v>2000</v>
      </c>
      <c r="F37" s="46">
        <f>ROUND('Income Statement Assumptions'!$B122/12,0)</f>
        <v>2000</v>
      </c>
      <c r="G37" s="46">
        <f>ROUND('Income Statement Assumptions'!$B122/12,0)</f>
        <v>2000</v>
      </c>
      <c r="H37" s="46">
        <f>ROUND('Income Statement Assumptions'!$B122/12,0)</f>
        <v>2000</v>
      </c>
      <c r="I37" s="46">
        <f>ROUND('Income Statement Assumptions'!$B122/12,0)</f>
        <v>2000</v>
      </c>
      <c r="J37" s="46">
        <f>ROUND('Income Statement Assumptions'!$B122/12,0)</f>
        <v>2000</v>
      </c>
      <c r="K37" s="46">
        <f>ROUND('Income Statement Assumptions'!$B122/12,0)</f>
        <v>2000</v>
      </c>
      <c r="L37" s="46">
        <f>ROUND('Income Statement Assumptions'!$B122/12,0)</f>
        <v>2000</v>
      </c>
      <c r="M37" s="46">
        <f>ROUND('Income Statement Assumptions'!$B122/12,0)</f>
        <v>2000</v>
      </c>
      <c r="N37" s="43">
        <f t="shared" si="31"/>
        <v>24000</v>
      </c>
      <c r="O37" s="46">
        <f>ROUND(('Income Statement Assumptions'!$B122*(1+'Income Statement Assumptions'!$F$122))/12,0)</f>
        <v>2008</v>
      </c>
      <c r="P37" s="46">
        <f>ROUND(('Income Statement Assumptions'!$B122*(1+'Income Statement Assumptions'!$F$122))/12,0)</f>
        <v>2008</v>
      </c>
      <c r="Q37" s="46">
        <f>ROUND(('Income Statement Assumptions'!$B122*(1+'Income Statement Assumptions'!$F$122))/12,0)</f>
        <v>2008</v>
      </c>
      <c r="R37" s="46">
        <f>ROUND(('Income Statement Assumptions'!$B122*(1+'Income Statement Assumptions'!$F$122))/12,0)</f>
        <v>2008</v>
      </c>
      <c r="S37" s="46">
        <f>ROUND(('Income Statement Assumptions'!$B122*(1+'Income Statement Assumptions'!$F$122))/12,0)</f>
        <v>2008</v>
      </c>
      <c r="T37" s="46">
        <f>ROUND(('Income Statement Assumptions'!$B122*(1+'Income Statement Assumptions'!$F$122))/12,0)</f>
        <v>2008</v>
      </c>
      <c r="U37" s="46">
        <f>ROUND(('Income Statement Assumptions'!$B122*(1+'Income Statement Assumptions'!$F$122))/12,0)</f>
        <v>2008</v>
      </c>
      <c r="V37" s="46">
        <f>ROUND(('Income Statement Assumptions'!$B122*(1+'Income Statement Assumptions'!$F$122))/12,0)</f>
        <v>2008</v>
      </c>
      <c r="W37" s="46">
        <f>ROUND(('Income Statement Assumptions'!$B122*(1+'Income Statement Assumptions'!$F$122))/12,0)</f>
        <v>2008</v>
      </c>
      <c r="X37" s="46">
        <f>ROUND(('Income Statement Assumptions'!$B122*(1+'Income Statement Assumptions'!$F$122))/12,0)</f>
        <v>2008</v>
      </c>
      <c r="Y37" s="46">
        <f>ROUND(('Income Statement Assumptions'!$B122*(1+'Income Statement Assumptions'!$F$122))/12,0)</f>
        <v>2008</v>
      </c>
      <c r="Z37" s="46">
        <f>ROUND(('Income Statement Assumptions'!$B122*(1+'Income Statement Assumptions'!$F$122))/12,0)</f>
        <v>2008</v>
      </c>
      <c r="AA37" s="46">
        <f>SUM(O37:Z37)</f>
        <v>24096</v>
      </c>
      <c r="AB37" s="46">
        <f>ROUND(('Income Statement Assumptions'!$B122*(1+'Income Statement Assumptions'!$D122)*(1+'Income Statement Assumptions'!$G122)/4),0)</f>
        <v>6379</v>
      </c>
      <c r="AC37" s="46">
        <f>ROUND(('Income Statement Assumptions'!$B122*(1+'Income Statement Assumptions'!$D122)*(1+'Income Statement Assumptions'!$G122)/4),0)</f>
        <v>6379</v>
      </c>
      <c r="AD37" s="46">
        <f>ROUND(('Income Statement Assumptions'!$B122*(1+'Income Statement Assumptions'!$D122)*(1+'Income Statement Assumptions'!$G122)/4),0)</f>
        <v>6379</v>
      </c>
      <c r="AE37" s="46">
        <f>ROUND(('Income Statement Assumptions'!$B122*(1+'Income Statement Assumptions'!$D122)*(1+'Income Statement Assumptions'!$G122)/4),0)</f>
        <v>6379</v>
      </c>
      <c r="AF37" s="43">
        <f t="shared" ref="AF37:AF59" si="32">SUM(AB37:AE37)</f>
        <v>25516</v>
      </c>
      <c r="AG37" s="63">
        <f>ROUND(('Income Statement Assumptions'!$B122*(1+'Income Statement Assumptions'!$D122)*(1+'Income Statement Assumptions'!$D122)*(1+'Income Statement Assumptions'!$H122)/4),0)</f>
        <v>6698</v>
      </c>
      <c r="AH37" s="64">
        <f>ROUND(('Income Statement Assumptions'!$B122*(1+'Income Statement Assumptions'!$D122)*(1+'Income Statement Assumptions'!$D122)*(1+'Income Statement Assumptions'!$H122)/4),0)</f>
        <v>6698</v>
      </c>
      <c r="AI37" s="64">
        <f>ROUND(('Income Statement Assumptions'!$B122*(1+'Income Statement Assumptions'!$D122)*(1+'Income Statement Assumptions'!$D122)*(1+'Income Statement Assumptions'!$H122)/4),0)</f>
        <v>6698</v>
      </c>
      <c r="AJ37" s="64">
        <f>ROUND(('Income Statement Assumptions'!$B122*(1+'Income Statement Assumptions'!$D122)*(1+'Income Statement Assumptions'!$D122)*(1+'Income Statement Assumptions'!$H122)/4),0)</f>
        <v>6698</v>
      </c>
      <c r="AK37" s="69">
        <f t="shared" ref="AK37:AK59" si="33">SUM(AG37:AJ37)</f>
        <v>26792</v>
      </c>
      <c r="AL37" s="46">
        <f>ROUND(('Income Statement Assumptions'!$B122*(1+'Income Statement Assumptions'!$D122)*(1+'Income Statement Assumptions'!$D122)*(1+'Income Statement Assumptions'!$D122)*(1+'Income Statement Assumptions'!$I122)),0)</f>
        <v>29172</v>
      </c>
    </row>
    <row r="38" spans="1:38" x14ac:dyDescent="0.25">
      <c r="A38" s="1" t="str">
        <f>'Income Statement Assumptions'!A123</f>
        <v>Office Supplies</v>
      </c>
      <c r="B38" s="46">
        <f>ROUND('Income Statement Assumptions'!$B123/12,0)</f>
        <v>667</v>
      </c>
      <c r="C38" s="46">
        <f>ROUND('Income Statement Assumptions'!$B123/12,0)</f>
        <v>667</v>
      </c>
      <c r="D38" s="46">
        <f>ROUND('Income Statement Assumptions'!$B123/12,0)</f>
        <v>667</v>
      </c>
      <c r="E38" s="46">
        <f>ROUND('Income Statement Assumptions'!$B123/12,0)</f>
        <v>667</v>
      </c>
      <c r="F38" s="46">
        <f>ROUND('Income Statement Assumptions'!$B123/12,0)</f>
        <v>667</v>
      </c>
      <c r="G38" s="46">
        <f>ROUND('Income Statement Assumptions'!$B123/12,0)</f>
        <v>667</v>
      </c>
      <c r="H38" s="46">
        <f>ROUND('Income Statement Assumptions'!$B123/12,0)</f>
        <v>667</v>
      </c>
      <c r="I38" s="46">
        <f>ROUND('Income Statement Assumptions'!$B123/12,0)</f>
        <v>667</v>
      </c>
      <c r="J38" s="46">
        <f>ROUND('Income Statement Assumptions'!$B123/12,0)</f>
        <v>667</v>
      </c>
      <c r="K38" s="46">
        <f>ROUND('Income Statement Assumptions'!$B123/12,0)</f>
        <v>667</v>
      </c>
      <c r="L38" s="46">
        <f>ROUND('Income Statement Assumptions'!$B123/12,0)</f>
        <v>667</v>
      </c>
      <c r="M38" s="46">
        <f>ROUND('Income Statement Assumptions'!$B123/12,0)</f>
        <v>667</v>
      </c>
      <c r="N38" s="43">
        <f t="shared" si="31"/>
        <v>8004</v>
      </c>
      <c r="O38" s="46">
        <f>ROUND(('Income Statement Assumptions'!$B123*(1+'Income Statement Assumptions'!$F$123))/12,0)</f>
        <v>669</v>
      </c>
      <c r="P38" s="46">
        <f>ROUND(('Income Statement Assumptions'!$B123*(1+'Income Statement Assumptions'!$F$123))/12,0)</f>
        <v>669</v>
      </c>
      <c r="Q38" s="46">
        <f>ROUND(('Income Statement Assumptions'!$B123*(1+'Income Statement Assumptions'!$F$123))/12,0)</f>
        <v>669</v>
      </c>
      <c r="R38" s="46">
        <f>ROUND(('Income Statement Assumptions'!$B123*(1+'Income Statement Assumptions'!$F$123))/12,0)</f>
        <v>669</v>
      </c>
      <c r="S38" s="46">
        <f>ROUND(('Income Statement Assumptions'!$B123*(1+'Income Statement Assumptions'!$F$123))/12,0)</f>
        <v>669</v>
      </c>
      <c r="T38" s="46">
        <f>ROUND(('Income Statement Assumptions'!$B123*(1+'Income Statement Assumptions'!$F$123))/12,0)</f>
        <v>669</v>
      </c>
      <c r="U38" s="46">
        <f>ROUND(('Income Statement Assumptions'!$B123*(1+'Income Statement Assumptions'!$F$123))/12,0)</f>
        <v>669</v>
      </c>
      <c r="V38" s="46">
        <f>ROUND(('Income Statement Assumptions'!$B123*(1+'Income Statement Assumptions'!$F$123))/12,0)</f>
        <v>669</v>
      </c>
      <c r="W38" s="46">
        <f>ROUND(('Income Statement Assumptions'!$B123*(1+'Income Statement Assumptions'!$F$123))/12,0)</f>
        <v>669</v>
      </c>
      <c r="X38" s="46">
        <f>ROUND(('Income Statement Assumptions'!$B123*(1+'Income Statement Assumptions'!$F$123))/12,0)</f>
        <v>669</v>
      </c>
      <c r="Y38" s="46">
        <f>ROUND(('Income Statement Assumptions'!$B123*(1+'Income Statement Assumptions'!$F$123))/12,0)</f>
        <v>669</v>
      </c>
      <c r="Z38" s="46">
        <f>ROUND(('Income Statement Assumptions'!$B123*(1+'Income Statement Assumptions'!$F$123))/12,0)</f>
        <v>669</v>
      </c>
      <c r="AA38" s="46">
        <f t="shared" ref="AA38:AA59" si="34">SUM(O38:Z38)</f>
        <v>8028</v>
      </c>
      <c r="AB38" s="46">
        <f>ROUND(('Income Statement Assumptions'!$B123*(1+'Income Statement Assumptions'!$D123)*(1+'Income Statement Assumptions'!$G123)/4),0)</f>
        <v>2126</v>
      </c>
      <c r="AC38" s="46">
        <f>ROUND(('Income Statement Assumptions'!$B123*(1+'Income Statement Assumptions'!$D123)*(1+'Income Statement Assumptions'!$G123)/4),0)</f>
        <v>2126</v>
      </c>
      <c r="AD38" s="46">
        <f>ROUND(('Income Statement Assumptions'!$B123*(1+'Income Statement Assumptions'!$D123)*(1+'Income Statement Assumptions'!$G123)/4),0)</f>
        <v>2126</v>
      </c>
      <c r="AE38" s="46">
        <f>ROUND(('Income Statement Assumptions'!$B123*(1+'Income Statement Assumptions'!$D123)*(1+'Income Statement Assumptions'!$G123)/4),0)</f>
        <v>2126</v>
      </c>
      <c r="AF38" s="43">
        <f t="shared" si="32"/>
        <v>8504</v>
      </c>
      <c r="AG38" s="63">
        <f>ROUND(('Income Statement Assumptions'!$B123*(1+'Income Statement Assumptions'!$D123)*(1+'Income Statement Assumptions'!$D123)*(1+'Income Statement Assumptions'!$H123)/4),0)</f>
        <v>2233</v>
      </c>
      <c r="AH38" s="64">
        <f>ROUND(('Income Statement Assumptions'!$B123*(1+'Income Statement Assumptions'!$D123)*(1+'Income Statement Assumptions'!$D123)*(1+'Income Statement Assumptions'!$H123)/4),0)</f>
        <v>2233</v>
      </c>
      <c r="AI38" s="64">
        <f>ROUND(('Income Statement Assumptions'!$B123*(1+'Income Statement Assumptions'!$D123)*(1+'Income Statement Assumptions'!$D123)*(1+'Income Statement Assumptions'!$H123)/4),0)</f>
        <v>2233</v>
      </c>
      <c r="AJ38" s="64">
        <f>ROUND(('Income Statement Assumptions'!$B123*(1+'Income Statement Assumptions'!$D123)*(1+'Income Statement Assumptions'!$D123)*(1+'Income Statement Assumptions'!$H123)/4),0)</f>
        <v>2233</v>
      </c>
      <c r="AK38" s="69">
        <f t="shared" si="33"/>
        <v>8932</v>
      </c>
      <c r="AL38" s="46">
        <f>ROUND(('Income Statement Assumptions'!$B123*(1+'Income Statement Assumptions'!$D123)*(1+'Income Statement Assumptions'!$D123)*(1+'Income Statement Assumptions'!$D123)*(1+'Income Statement Assumptions'!$I123)),0)</f>
        <v>9724</v>
      </c>
    </row>
    <row r="39" spans="1:38" x14ac:dyDescent="0.25">
      <c r="A39" s="1" t="str">
        <f>'Income Statement Assumptions'!A124</f>
        <v>Other Staff Salaries</v>
      </c>
      <c r="B39" s="113"/>
      <c r="C39" s="46"/>
      <c r="D39" s="46"/>
      <c r="E39" s="46"/>
      <c r="F39" s="46"/>
      <c r="G39" s="46"/>
      <c r="H39" s="46"/>
      <c r="I39" s="46"/>
      <c r="J39" s="46"/>
      <c r="K39" s="46"/>
      <c r="L39" s="46"/>
      <c r="M39" s="46"/>
      <c r="N39" s="43">
        <f t="shared" si="31"/>
        <v>0</v>
      </c>
      <c r="O39" s="46">
        <f>ROUND(('Income Statement Assumptions'!$B124*(1+'Income Statement Assumptions'!$F$124))/12,0)</f>
        <v>3347</v>
      </c>
      <c r="P39" s="46">
        <f>ROUND(('Income Statement Assumptions'!$B124*(1+'Income Statement Assumptions'!$F$124))/12,0)</f>
        <v>3347</v>
      </c>
      <c r="Q39" s="46">
        <f>ROUND(('Income Statement Assumptions'!$B124*(1+'Income Statement Assumptions'!$F$124))/12,0)</f>
        <v>3347</v>
      </c>
      <c r="R39" s="46">
        <f>ROUND(('Income Statement Assumptions'!$B124*(1+'Income Statement Assumptions'!$F$124))/12,0)</f>
        <v>3347</v>
      </c>
      <c r="S39" s="46">
        <f>ROUND(('Income Statement Assumptions'!$B124*(1+'Income Statement Assumptions'!$F$124))/12,0)</f>
        <v>3347</v>
      </c>
      <c r="T39" s="46">
        <f>ROUND(('Income Statement Assumptions'!$B124*(1+'Income Statement Assumptions'!$F$124))/12,0)</f>
        <v>3347</v>
      </c>
      <c r="U39" s="46">
        <f>ROUND(('Income Statement Assumptions'!$B124*(1+'Income Statement Assumptions'!$F$124))/12,0)</f>
        <v>3347</v>
      </c>
      <c r="V39" s="46">
        <f>ROUND(('Income Statement Assumptions'!$B124*(1+'Income Statement Assumptions'!$F$124))/12,0)</f>
        <v>3347</v>
      </c>
      <c r="W39" s="46">
        <f>ROUND(('Income Statement Assumptions'!$B124*(1+'Income Statement Assumptions'!$F$124))/12,0)</f>
        <v>3347</v>
      </c>
      <c r="X39" s="46">
        <f>ROUND(('Income Statement Assumptions'!$B124*(1+'Income Statement Assumptions'!$F$124))/12,0)</f>
        <v>3347</v>
      </c>
      <c r="Y39" s="46">
        <f>ROUND(('Income Statement Assumptions'!$B124*(1+'Income Statement Assumptions'!$F$124))/12,0)</f>
        <v>3347</v>
      </c>
      <c r="Z39" s="46">
        <f>ROUND(('Income Statement Assumptions'!$B124*(1+'Income Statement Assumptions'!$F$124))/12,0)</f>
        <v>3347</v>
      </c>
      <c r="AA39" s="46">
        <f t="shared" si="34"/>
        <v>40164</v>
      </c>
      <c r="AB39" s="46">
        <f>ROUND(('Income Statement Assumptions'!$B124*(1+'Income Statement Assumptions'!$D124)*(1+'Income Statement Assumptions'!$G124)/4),0)</f>
        <v>10631</v>
      </c>
      <c r="AC39" s="46">
        <f>ROUND(('Income Statement Assumptions'!$B124*(1+'Income Statement Assumptions'!$D124)*(1+'Income Statement Assumptions'!$G124)/4),0)</f>
        <v>10631</v>
      </c>
      <c r="AD39" s="46">
        <f>ROUND(('Income Statement Assumptions'!$B124*(1+'Income Statement Assumptions'!$D124)*(1+'Income Statement Assumptions'!$G124)/4),0)</f>
        <v>10631</v>
      </c>
      <c r="AE39" s="46">
        <f>ROUND(('Income Statement Assumptions'!$B124*(1+'Income Statement Assumptions'!$D124)*(1+'Income Statement Assumptions'!$G124)/4),0)</f>
        <v>10631</v>
      </c>
      <c r="AF39" s="43">
        <f t="shared" si="32"/>
        <v>42524</v>
      </c>
      <c r="AG39" s="63">
        <f>ROUND(('Income Statement Assumptions'!$B124*(1+'Income Statement Assumptions'!$D124)*(1+'Income Statement Assumptions'!$D124)*(1+'Income Statement Assumptions'!$H124)/4),0)</f>
        <v>11163</v>
      </c>
      <c r="AH39" s="64">
        <f>ROUND(('Income Statement Assumptions'!$B124*(1+'Income Statement Assumptions'!$D124)*(1+'Income Statement Assumptions'!$D124)*(1+'Income Statement Assumptions'!$H124)/4),0)</f>
        <v>11163</v>
      </c>
      <c r="AI39" s="64">
        <f>ROUND(('Income Statement Assumptions'!$B124*(1+'Income Statement Assumptions'!$D124)*(1+'Income Statement Assumptions'!$D124)*(1+'Income Statement Assumptions'!$H124)/4),0)</f>
        <v>11163</v>
      </c>
      <c r="AJ39" s="64">
        <f>ROUND(('Income Statement Assumptions'!$B124*(1+'Income Statement Assumptions'!$D124)*(1+'Income Statement Assumptions'!$D124)*(1+'Income Statement Assumptions'!$H124)/4),0)</f>
        <v>11163</v>
      </c>
      <c r="AK39" s="69">
        <f t="shared" si="33"/>
        <v>44652</v>
      </c>
      <c r="AL39" s="46">
        <f>ROUND(('Income Statement Assumptions'!$B124*(1+'Income Statement Assumptions'!$D124)*(1+'Income Statement Assumptions'!$D124)*(1+'Income Statement Assumptions'!$D124)*(1+'Income Statement Assumptions'!$I124)),0)</f>
        <v>48620</v>
      </c>
    </row>
    <row r="40" spans="1:38" x14ac:dyDescent="0.25">
      <c r="A40" s="1" t="str">
        <f>'Income Statement Assumptions'!A125</f>
        <v>Executive Salaries</v>
      </c>
      <c r="B40" s="46">
        <f>ROUND('Income Statement Assumptions'!$B125/12,0)</f>
        <v>16667</v>
      </c>
      <c r="C40" s="46">
        <f>ROUND('Income Statement Assumptions'!$B125/12,0)</f>
        <v>16667</v>
      </c>
      <c r="D40" s="46">
        <f>ROUND('Income Statement Assumptions'!$B125/12,0)</f>
        <v>16667</v>
      </c>
      <c r="E40" s="46">
        <f>ROUND('Income Statement Assumptions'!$B125/12,0)</f>
        <v>16667</v>
      </c>
      <c r="F40" s="46">
        <f>ROUND('Income Statement Assumptions'!$B125/12,0)</f>
        <v>16667</v>
      </c>
      <c r="G40" s="46">
        <f>ROUND('Income Statement Assumptions'!$B125/12,0)</f>
        <v>16667</v>
      </c>
      <c r="H40" s="46">
        <f>ROUND('Income Statement Assumptions'!$B125/12,0)</f>
        <v>16667</v>
      </c>
      <c r="I40" s="46">
        <f>ROUND('Income Statement Assumptions'!$B125/12,0)</f>
        <v>16667</v>
      </c>
      <c r="J40" s="46">
        <f>ROUND('Income Statement Assumptions'!$B125/12,0)</f>
        <v>16667</v>
      </c>
      <c r="K40" s="46">
        <f>ROUND('Income Statement Assumptions'!$B125/12,0)</f>
        <v>16667</v>
      </c>
      <c r="L40" s="46">
        <f>ROUND('Income Statement Assumptions'!$B125/12,0)</f>
        <v>16667</v>
      </c>
      <c r="M40" s="46">
        <f>ROUND('Income Statement Assumptions'!$B125/12,0)</f>
        <v>16667</v>
      </c>
      <c r="N40" s="43">
        <f t="shared" si="31"/>
        <v>200004</v>
      </c>
      <c r="O40" s="46">
        <f>ROUND(('Income Statement Assumptions'!$B125*(1+'Income Statement Assumptions'!$F$125))/12,0)</f>
        <v>16806</v>
      </c>
      <c r="P40" s="46">
        <f>ROUND(('Income Statement Assumptions'!$B125*(1+'Income Statement Assumptions'!$F$125))/12,0)</f>
        <v>16806</v>
      </c>
      <c r="Q40" s="46">
        <f>ROUND(('Income Statement Assumptions'!$B125*(1+'Income Statement Assumptions'!$F$125))/12,0)</f>
        <v>16806</v>
      </c>
      <c r="R40" s="46">
        <f>ROUND(('Income Statement Assumptions'!$B125*(1+'Income Statement Assumptions'!$F$125))/12,0)</f>
        <v>16806</v>
      </c>
      <c r="S40" s="46">
        <f>ROUND(('Income Statement Assumptions'!$B125*(1+'Income Statement Assumptions'!$F$125))/12,0)</f>
        <v>16806</v>
      </c>
      <c r="T40" s="46">
        <f>ROUND(('Income Statement Assumptions'!$B125*(1+'Income Statement Assumptions'!$F$125))/12,0)</f>
        <v>16806</v>
      </c>
      <c r="U40" s="46">
        <f>ROUND(('Income Statement Assumptions'!$B125*(1+'Income Statement Assumptions'!$F$125))/12,0)</f>
        <v>16806</v>
      </c>
      <c r="V40" s="46">
        <f>ROUND(('Income Statement Assumptions'!$B125*(1+'Income Statement Assumptions'!$F$125))/12,0)</f>
        <v>16806</v>
      </c>
      <c r="W40" s="46">
        <f>ROUND(('Income Statement Assumptions'!$B125*(1+'Income Statement Assumptions'!$F$125))/12,0)</f>
        <v>16806</v>
      </c>
      <c r="X40" s="46">
        <f>ROUND(('Income Statement Assumptions'!$B125*(1+'Income Statement Assumptions'!$F$125))/12,0)</f>
        <v>16806</v>
      </c>
      <c r="Y40" s="46">
        <f>ROUND(('Income Statement Assumptions'!$B125*(1+'Income Statement Assumptions'!$F$125))/12,0)</f>
        <v>16806</v>
      </c>
      <c r="Z40" s="46">
        <f>ROUND(('Income Statement Assumptions'!$B125*(1+'Income Statement Assumptions'!$F$125))/12,0)</f>
        <v>16806</v>
      </c>
      <c r="AA40" s="46">
        <f t="shared" si="34"/>
        <v>201672</v>
      </c>
      <c r="AB40" s="46">
        <f>ROUND(('Income Statement Assumptions'!$B125*(1+'Income Statement Assumptions'!$D125)*(1+'Income Statement Assumptions'!$G125)/4),0)</f>
        <v>56375</v>
      </c>
      <c r="AC40" s="46">
        <f>ROUND(('Income Statement Assumptions'!$B125*(1+'Income Statement Assumptions'!$D125)*(1+'Income Statement Assumptions'!$G125)/4),0)</f>
        <v>56375</v>
      </c>
      <c r="AD40" s="46">
        <f>ROUND(('Income Statement Assumptions'!$B125*(1+'Income Statement Assumptions'!$D125)*(1+'Income Statement Assumptions'!$G125)/4),0)</f>
        <v>56375</v>
      </c>
      <c r="AE40" s="46">
        <f>ROUND(('Income Statement Assumptions'!$B125*(1+'Income Statement Assumptions'!$D125)*(1+'Income Statement Assumptions'!$G125)/4),0)</f>
        <v>56375</v>
      </c>
      <c r="AF40" s="43">
        <f t="shared" si="32"/>
        <v>225500</v>
      </c>
      <c r="AG40" s="63">
        <f>ROUND(('Income Statement Assumptions'!$B125*(1+'Income Statement Assumptions'!$D125)*(1+'Income Statement Assumptions'!$D125)*(1+'Income Statement Assumptions'!$H125)/4),0)</f>
        <v>62013</v>
      </c>
      <c r="AH40" s="64">
        <f>ROUND(('Income Statement Assumptions'!$B125*(1+'Income Statement Assumptions'!$D125)*(1+'Income Statement Assumptions'!$D125)*(1+'Income Statement Assumptions'!$H125)/4),0)</f>
        <v>62013</v>
      </c>
      <c r="AI40" s="64">
        <f>ROUND(('Income Statement Assumptions'!$B125*(1+'Income Statement Assumptions'!$D125)*(1+'Income Statement Assumptions'!$D125)*(1+'Income Statement Assumptions'!$H125)/4),0)</f>
        <v>62013</v>
      </c>
      <c r="AJ40" s="64">
        <f>ROUND(('Income Statement Assumptions'!$B125*(1+'Income Statement Assumptions'!$D125)*(1+'Income Statement Assumptions'!$D125)*(1+'Income Statement Assumptions'!$H125)/4),0)</f>
        <v>62013</v>
      </c>
      <c r="AK40" s="69">
        <f t="shared" si="33"/>
        <v>248052</v>
      </c>
      <c r="AL40" s="46">
        <f>ROUND(('Income Statement Assumptions'!$B125*(1+'Income Statement Assumptions'!$D125)*(1+'Income Statement Assumptions'!$D125)*(1+'Income Statement Assumptions'!$D125)*(1+'Income Statement Assumptions'!$I125)),0)</f>
        <v>292820</v>
      </c>
    </row>
    <row r="41" spans="1:38" x14ac:dyDescent="0.25">
      <c r="A41" s="1" t="str">
        <f>'Income Statement Assumptions'!A126</f>
        <v>Website Maintenance</v>
      </c>
      <c r="B41" s="46">
        <f>ROUND('Income Statement Assumptions'!$B126/12,0)</f>
        <v>208</v>
      </c>
      <c r="C41" s="46">
        <f>ROUND('Income Statement Assumptions'!$B126/12,0)</f>
        <v>208</v>
      </c>
      <c r="D41" s="46">
        <f>ROUND('Income Statement Assumptions'!$B126/12,0)</f>
        <v>208</v>
      </c>
      <c r="E41" s="46">
        <f>ROUND('Income Statement Assumptions'!$B126/12,0)</f>
        <v>208</v>
      </c>
      <c r="F41" s="46">
        <f>ROUND('Income Statement Assumptions'!$B126/12,0)</f>
        <v>208</v>
      </c>
      <c r="G41" s="46">
        <f>ROUND('Income Statement Assumptions'!$B126/12,0)</f>
        <v>208</v>
      </c>
      <c r="H41" s="46">
        <f>ROUND('Income Statement Assumptions'!$B126/12,0)</f>
        <v>208</v>
      </c>
      <c r="I41" s="46">
        <f>ROUND('Income Statement Assumptions'!$B126/12,0)</f>
        <v>208</v>
      </c>
      <c r="J41" s="46">
        <f>ROUND('Income Statement Assumptions'!$B126/12,0)</f>
        <v>208</v>
      </c>
      <c r="K41" s="46">
        <f>ROUND('Income Statement Assumptions'!$B126/12,0)</f>
        <v>208</v>
      </c>
      <c r="L41" s="46">
        <f>ROUND('Income Statement Assumptions'!$B126/12,0)</f>
        <v>208</v>
      </c>
      <c r="M41" s="46">
        <f>ROUND('Income Statement Assumptions'!$B126/12,0)</f>
        <v>208</v>
      </c>
      <c r="N41" s="43">
        <f t="shared" si="31"/>
        <v>2496</v>
      </c>
      <c r="O41" s="46">
        <f>ROUND(('Income Statement Assumptions'!$B126*(1+'Income Statement Assumptions'!$F$126))/12,0)</f>
        <v>209</v>
      </c>
      <c r="P41" s="46">
        <f>ROUND(('Income Statement Assumptions'!$B126*(1+'Income Statement Assumptions'!$F$126))/12,0)</f>
        <v>209</v>
      </c>
      <c r="Q41" s="46">
        <f>ROUND(('Income Statement Assumptions'!$B126*(1+'Income Statement Assumptions'!$F$126))/12,0)</f>
        <v>209</v>
      </c>
      <c r="R41" s="46">
        <f>ROUND(('Income Statement Assumptions'!$B126*(1+'Income Statement Assumptions'!$F$126))/12,0)</f>
        <v>209</v>
      </c>
      <c r="S41" s="46">
        <f>ROUND(('Income Statement Assumptions'!$B126*(1+'Income Statement Assumptions'!$F$126))/12,0)</f>
        <v>209</v>
      </c>
      <c r="T41" s="46">
        <f>ROUND(('Income Statement Assumptions'!$B126*(1+'Income Statement Assumptions'!$F$126))/12,0)</f>
        <v>209</v>
      </c>
      <c r="U41" s="46">
        <f>ROUND(('Income Statement Assumptions'!$B126*(1+'Income Statement Assumptions'!$F$126))/12,0)</f>
        <v>209</v>
      </c>
      <c r="V41" s="46">
        <f>ROUND(('Income Statement Assumptions'!$B126*(1+'Income Statement Assumptions'!$F$126))/12,0)</f>
        <v>209</v>
      </c>
      <c r="W41" s="46">
        <f>ROUND(('Income Statement Assumptions'!$B126*(1+'Income Statement Assumptions'!$F$126))/12,0)</f>
        <v>209</v>
      </c>
      <c r="X41" s="46">
        <f>ROUND(('Income Statement Assumptions'!$B126*(1+'Income Statement Assumptions'!$F$126))/12,0)</f>
        <v>209</v>
      </c>
      <c r="Y41" s="46">
        <f>ROUND(('Income Statement Assumptions'!$B126*(1+'Income Statement Assumptions'!$F$126))/12,0)</f>
        <v>209</v>
      </c>
      <c r="Z41" s="46">
        <f>ROUND(('Income Statement Assumptions'!$B126*(1+'Income Statement Assumptions'!$F$126))/12,0)</f>
        <v>209</v>
      </c>
      <c r="AA41" s="46">
        <f t="shared" si="34"/>
        <v>2508</v>
      </c>
      <c r="AB41" s="46">
        <f>ROUND(('Income Statement Assumptions'!$B126*(1+'Income Statement Assumptions'!$D126)*(1+'Income Statement Assumptions'!$G126)/4),0)</f>
        <v>664</v>
      </c>
      <c r="AC41" s="46">
        <f>ROUND(('Income Statement Assumptions'!$B126*(1+'Income Statement Assumptions'!$D126)*(1+'Income Statement Assumptions'!$G126)/4),0)</f>
        <v>664</v>
      </c>
      <c r="AD41" s="46">
        <f>ROUND(('Income Statement Assumptions'!$B126*(1+'Income Statement Assumptions'!$D126)*(1+'Income Statement Assumptions'!$G126)/4),0)</f>
        <v>664</v>
      </c>
      <c r="AE41" s="46">
        <f>ROUND(('Income Statement Assumptions'!$B126*(1+'Income Statement Assumptions'!$D126)*(1+'Income Statement Assumptions'!$G126)/4),0)</f>
        <v>664</v>
      </c>
      <c r="AF41" s="43">
        <f t="shared" si="32"/>
        <v>2656</v>
      </c>
      <c r="AG41" s="63">
        <f>ROUND(('Income Statement Assumptions'!$B126*(1+'Income Statement Assumptions'!$D126)*(1+'Income Statement Assumptions'!$D126)*(1+'Income Statement Assumptions'!$H126)/4),0)</f>
        <v>698</v>
      </c>
      <c r="AH41" s="64">
        <f>ROUND(('Income Statement Assumptions'!$B126*(1+'Income Statement Assumptions'!$D126)*(1+'Income Statement Assumptions'!$D126)*(1+'Income Statement Assumptions'!$H126)/4),0)</f>
        <v>698</v>
      </c>
      <c r="AI41" s="64">
        <f>ROUND(('Income Statement Assumptions'!$B126*(1+'Income Statement Assumptions'!$D126)*(1+'Income Statement Assumptions'!$D126)*(1+'Income Statement Assumptions'!$H126)/4),0)</f>
        <v>698</v>
      </c>
      <c r="AJ41" s="64">
        <f>ROUND(('Income Statement Assumptions'!$B126*(1+'Income Statement Assumptions'!$D126)*(1+'Income Statement Assumptions'!$D126)*(1+'Income Statement Assumptions'!$H126)/4),0)</f>
        <v>698</v>
      </c>
      <c r="AK41" s="69">
        <f t="shared" si="33"/>
        <v>2792</v>
      </c>
      <c r="AL41" s="46">
        <f>ROUND(('Income Statement Assumptions'!$B126*(1+'Income Statement Assumptions'!$D126)*(1+'Income Statement Assumptions'!$D126)*(1+'Income Statement Assumptions'!$D126)*(1+'Income Statement Assumptions'!$I126)),0)</f>
        <v>3039</v>
      </c>
    </row>
    <row r="42" spans="1:38" x14ac:dyDescent="0.25">
      <c r="A42" s="1" t="str">
        <f>'Income Statement Assumptions'!A127</f>
        <v>General Liability Insurance</v>
      </c>
      <c r="B42" s="46">
        <f>ROUND('Income Statement Assumptions'!$B127/12,0)</f>
        <v>333</v>
      </c>
      <c r="C42" s="46">
        <f>ROUND('Income Statement Assumptions'!$B127/12,0)</f>
        <v>333</v>
      </c>
      <c r="D42" s="46">
        <f>ROUND('Income Statement Assumptions'!$B127/12,0)</f>
        <v>333</v>
      </c>
      <c r="E42" s="46">
        <f>ROUND('Income Statement Assumptions'!$B127/12,0)</f>
        <v>333</v>
      </c>
      <c r="F42" s="46">
        <f>ROUND('Income Statement Assumptions'!$B127/12,0)</f>
        <v>333</v>
      </c>
      <c r="G42" s="46">
        <f>ROUND('Income Statement Assumptions'!$B127/12,0)</f>
        <v>333</v>
      </c>
      <c r="H42" s="46">
        <f>ROUND('Income Statement Assumptions'!$B127/12,0)</f>
        <v>333</v>
      </c>
      <c r="I42" s="46">
        <f>ROUND('Income Statement Assumptions'!$B127/12,0)</f>
        <v>333</v>
      </c>
      <c r="J42" s="46">
        <f>ROUND('Income Statement Assumptions'!$B127/12,0)</f>
        <v>333</v>
      </c>
      <c r="K42" s="46">
        <f>ROUND('Income Statement Assumptions'!$B127/12,0)</f>
        <v>333</v>
      </c>
      <c r="L42" s="46">
        <f>ROUND('Income Statement Assumptions'!$B127/12,0)</f>
        <v>333</v>
      </c>
      <c r="M42" s="46">
        <f>ROUND('Income Statement Assumptions'!$B127/12,0)</f>
        <v>333</v>
      </c>
      <c r="N42" s="43">
        <f t="shared" si="31"/>
        <v>3996</v>
      </c>
      <c r="O42" s="46">
        <f>ROUND(('Income Statement Assumptions'!$B127*(1+'Income Statement Assumptions'!$F$127))/12,0)</f>
        <v>335</v>
      </c>
      <c r="P42" s="46">
        <f>ROUND(('Income Statement Assumptions'!$B127*(1+'Income Statement Assumptions'!$F$127))/12,0)</f>
        <v>335</v>
      </c>
      <c r="Q42" s="46">
        <f>ROUND(('Income Statement Assumptions'!$B127*(1+'Income Statement Assumptions'!$F$127))/12,0)</f>
        <v>335</v>
      </c>
      <c r="R42" s="46">
        <f>ROUND(('Income Statement Assumptions'!$B127*(1+'Income Statement Assumptions'!$F$127))/12,0)</f>
        <v>335</v>
      </c>
      <c r="S42" s="46">
        <f>ROUND(('Income Statement Assumptions'!$B127*(1+'Income Statement Assumptions'!$F$127))/12,0)</f>
        <v>335</v>
      </c>
      <c r="T42" s="46">
        <f>ROUND(('Income Statement Assumptions'!$B127*(1+'Income Statement Assumptions'!$F$127))/12,0)</f>
        <v>335</v>
      </c>
      <c r="U42" s="46">
        <f>ROUND(('Income Statement Assumptions'!$B127*(1+'Income Statement Assumptions'!$F$127))/12,0)</f>
        <v>335</v>
      </c>
      <c r="V42" s="46">
        <f>ROUND(('Income Statement Assumptions'!$B127*(1+'Income Statement Assumptions'!$F$127))/12,0)</f>
        <v>335</v>
      </c>
      <c r="W42" s="46">
        <f>ROUND(('Income Statement Assumptions'!$B127*(1+'Income Statement Assumptions'!$F$127))/12,0)</f>
        <v>335</v>
      </c>
      <c r="X42" s="46">
        <f>ROUND(('Income Statement Assumptions'!$B127*(1+'Income Statement Assumptions'!$F$127))/12,0)</f>
        <v>335</v>
      </c>
      <c r="Y42" s="46">
        <f>ROUND(('Income Statement Assumptions'!$B127*(1+'Income Statement Assumptions'!$F$127))/12,0)</f>
        <v>335</v>
      </c>
      <c r="Z42" s="46">
        <f>ROUND(('Income Statement Assumptions'!$B127*(1+'Income Statement Assumptions'!$F$127))/12,0)</f>
        <v>335</v>
      </c>
      <c r="AA42" s="46">
        <f t="shared" si="34"/>
        <v>4020</v>
      </c>
      <c r="AB42" s="46">
        <f>ROUND(('Income Statement Assumptions'!$B127*(1+'Income Statement Assumptions'!$D127)*(1+'Income Statement Assumptions'!$G127)/4),0)</f>
        <v>1063</v>
      </c>
      <c r="AC42" s="46">
        <f>ROUND(('Income Statement Assumptions'!$B127*(1+'Income Statement Assumptions'!$D127)*(1+'Income Statement Assumptions'!$G127)/4),0)</f>
        <v>1063</v>
      </c>
      <c r="AD42" s="46">
        <f>ROUND(('Income Statement Assumptions'!$B127*(1+'Income Statement Assumptions'!$D127)*(1+'Income Statement Assumptions'!$G127)/4),0)</f>
        <v>1063</v>
      </c>
      <c r="AE42" s="46">
        <f>ROUND(('Income Statement Assumptions'!$B127*(1+'Income Statement Assumptions'!$D127)*(1+'Income Statement Assumptions'!$G127)/4),0)</f>
        <v>1063</v>
      </c>
      <c r="AF42" s="43">
        <f t="shared" si="32"/>
        <v>4252</v>
      </c>
      <c r="AG42" s="63">
        <f>ROUND(('Income Statement Assumptions'!$B127*(1+'Income Statement Assumptions'!$D127)*(1+'Income Statement Assumptions'!$D127)*(1+'Income Statement Assumptions'!$H127)/4),0)</f>
        <v>1116</v>
      </c>
      <c r="AH42" s="64">
        <f>ROUND(('Income Statement Assumptions'!$B127*(1+'Income Statement Assumptions'!$D127)*(1+'Income Statement Assumptions'!$D127)*(1+'Income Statement Assumptions'!$H127)/4),0)</f>
        <v>1116</v>
      </c>
      <c r="AI42" s="64">
        <f>ROUND(('Income Statement Assumptions'!$B127*(1+'Income Statement Assumptions'!$D127)*(1+'Income Statement Assumptions'!$D127)*(1+'Income Statement Assumptions'!$H127)/4),0)</f>
        <v>1116</v>
      </c>
      <c r="AJ42" s="64">
        <f>ROUND(('Income Statement Assumptions'!$B127*(1+'Income Statement Assumptions'!$D127)*(1+'Income Statement Assumptions'!$D127)*(1+'Income Statement Assumptions'!$H127)/4),0)</f>
        <v>1116</v>
      </c>
      <c r="AK42" s="69">
        <f t="shared" si="33"/>
        <v>4464</v>
      </c>
      <c r="AL42" s="46">
        <f>ROUND(('Income Statement Assumptions'!$B127*(1+'Income Statement Assumptions'!$D127)*(1+'Income Statement Assumptions'!$D127)*(1+'Income Statement Assumptions'!$D127)*(1+'Income Statement Assumptions'!$I127)),0)</f>
        <v>4862</v>
      </c>
    </row>
    <row r="43" spans="1:38" x14ac:dyDescent="0.25">
      <c r="A43" s="1" t="str">
        <f>'Income Statement Assumptions'!A128</f>
        <v>Depreciation Expense</v>
      </c>
      <c r="B43" s="46">
        <f>'Fixed Asset Assumptions'!$B$31</f>
        <v>817</v>
      </c>
      <c r="C43" s="46">
        <f>'Fixed Asset Assumptions'!$B$31</f>
        <v>817</v>
      </c>
      <c r="D43" s="46">
        <f>'Fixed Asset Assumptions'!$B$31</f>
        <v>817</v>
      </c>
      <c r="E43" s="46">
        <f>'Fixed Asset Assumptions'!$B$31</f>
        <v>817</v>
      </c>
      <c r="F43" s="46">
        <f>'Fixed Asset Assumptions'!$B$31</f>
        <v>817</v>
      </c>
      <c r="G43" s="46">
        <f>'Fixed Asset Assumptions'!$B$31</f>
        <v>817</v>
      </c>
      <c r="H43" s="46">
        <f>'Fixed Asset Assumptions'!$B$31</f>
        <v>817</v>
      </c>
      <c r="I43" s="46">
        <f>'Fixed Asset Assumptions'!$B$31</f>
        <v>817</v>
      </c>
      <c r="J43" s="46">
        <f>'Fixed Asset Assumptions'!$B$31</f>
        <v>817</v>
      </c>
      <c r="K43" s="46">
        <f>'Fixed Asset Assumptions'!$B$31</f>
        <v>817</v>
      </c>
      <c r="L43" s="46">
        <f>'Fixed Asset Assumptions'!$B$31</f>
        <v>817</v>
      </c>
      <c r="M43" s="46">
        <f>'Fixed Asset Assumptions'!$B$31</f>
        <v>817</v>
      </c>
      <c r="N43" s="43">
        <f t="shared" si="31"/>
        <v>9804</v>
      </c>
      <c r="O43" s="46">
        <f>'Fixed Asset Assumptions'!$C$31</f>
        <v>858</v>
      </c>
      <c r="P43" s="46">
        <f>'Fixed Asset Assumptions'!$C$31</f>
        <v>858</v>
      </c>
      <c r="Q43" s="46">
        <f>'Fixed Asset Assumptions'!$C$31</f>
        <v>858</v>
      </c>
      <c r="R43" s="46">
        <f>'Fixed Asset Assumptions'!$C$31</f>
        <v>858</v>
      </c>
      <c r="S43" s="46">
        <f>'Fixed Asset Assumptions'!$C$31</f>
        <v>858</v>
      </c>
      <c r="T43" s="46">
        <f>'Fixed Asset Assumptions'!$C$31</f>
        <v>858</v>
      </c>
      <c r="U43" s="46">
        <f>'Fixed Asset Assumptions'!$C$31</f>
        <v>858</v>
      </c>
      <c r="V43" s="46">
        <f>'Fixed Asset Assumptions'!$C$31</f>
        <v>858</v>
      </c>
      <c r="W43" s="46">
        <f>'Fixed Asset Assumptions'!$C$31</f>
        <v>858</v>
      </c>
      <c r="X43" s="46">
        <f>'Fixed Asset Assumptions'!$C$31</f>
        <v>858</v>
      </c>
      <c r="Y43" s="46">
        <f>'Fixed Asset Assumptions'!$C$31</f>
        <v>858</v>
      </c>
      <c r="Z43" s="46">
        <f>'Fixed Asset Assumptions'!$C$31</f>
        <v>858</v>
      </c>
      <c r="AA43" s="46">
        <f t="shared" si="34"/>
        <v>10296</v>
      </c>
      <c r="AB43" s="46">
        <f>'Fixed Asset Assumptions'!$D$31</f>
        <v>2800</v>
      </c>
      <c r="AC43" s="46">
        <f>'Fixed Asset Assumptions'!$D$31</f>
        <v>2800</v>
      </c>
      <c r="AD43" s="46">
        <f>'Fixed Asset Assumptions'!$D$31</f>
        <v>2800</v>
      </c>
      <c r="AE43" s="46">
        <f>'Fixed Asset Assumptions'!$D$31</f>
        <v>2800</v>
      </c>
      <c r="AF43" s="43">
        <f t="shared" si="32"/>
        <v>11200</v>
      </c>
      <c r="AG43" s="63">
        <f>'Fixed Asset Assumptions'!$E$31</f>
        <v>3600</v>
      </c>
      <c r="AH43" s="64">
        <f>'Fixed Asset Assumptions'!$E$31</f>
        <v>3600</v>
      </c>
      <c r="AI43" s="64">
        <f>'Fixed Asset Assumptions'!$E$31</f>
        <v>3600</v>
      </c>
      <c r="AJ43" s="64">
        <f>'Fixed Asset Assumptions'!$E$31</f>
        <v>3600</v>
      </c>
      <c r="AK43" s="69">
        <f t="shared" si="33"/>
        <v>14400</v>
      </c>
      <c r="AL43" s="46">
        <f>'Fixed Asset Assumptions'!F31</f>
        <v>15300</v>
      </c>
    </row>
    <row r="44" spans="1:38" x14ac:dyDescent="0.25">
      <c r="A44" s="1" t="str">
        <f>'Income Statement Assumptions'!A129</f>
        <v xml:space="preserve">Amortization Expense </v>
      </c>
      <c r="B44" s="46">
        <f>'Fixed Asset Assumptions'!$B$49</f>
        <v>83</v>
      </c>
      <c r="C44" s="46">
        <f>'Fixed Asset Assumptions'!$B$49</f>
        <v>83</v>
      </c>
      <c r="D44" s="46">
        <f>'Fixed Asset Assumptions'!$B$49</f>
        <v>83</v>
      </c>
      <c r="E44" s="46">
        <f>'Fixed Asset Assumptions'!$B$49</f>
        <v>83</v>
      </c>
      <c r="F44" s="46">
        <f>'Fixed Asset Assumptions'!$B$49</f>
        <v>83</v>
      </c>
      <c r="G44" s="46">
        <f>'Fixed Asset Assumptions'!$B$49</f>
        <v>83</v>
      </c>
      <c r="H44" s="46">
        <f>'Fixed Asset Assumptions'!$B$49</f>
        <v>83</v>
      </c>
      <c r="I44" s="46">
        <f>'Fixed Asset Assumptions'!$B$49</f>
        <v>83</v>
      </c>
      <c r="J44" s="46">
        <f>'Fixed Asset Assumptions'!$B$49</f>
        <v>83</v>
      </c>
      <c r="K44" s="46">
        <f>'Fixed Asset Assumptions'!$B$49</f>
        <v>83</v>
      </c>
      <c r="L44" s="46">
        <f>'Fixed Asset Assumptions'!$B$49</f>
        <v>83</v>
      </c>
      <c r="M44" s="46">
        <f>'Fixed Asset Assumptions'!$B$49</f>
        <v>83</v>
      </c>
      <c r="N44" s="43">
        <f t="shared" si="31"/>
        <v>996</v>
      </c>
      <c r="O44" s="46">
        <f>'Fixed Asset Assumptions'!$C$49</f>
        <v>83</v>
      </c>
      <c r="P44" s="46">
        <f>'Fixed Asset Assumptions'!$C$49</f>
        <v>83</v>
      </c>
      <c r="Q44" s="46">
        <f>'Fixed Asset Assumptions'!$C$49</f>
        <v>83</v>
      </c>
      <c r="R44" s="46">
        <f>'Fixed Asset Assumptions'!$C$49</f>
        <v>83</v>
      </c>
      <c r="S44" s="46">
        <f>'Fixed Asset Assumptions'!$C$49</f>
        <v>83</v>
      </c>
      <c r="T44" s="46">
        <f>'Fixed Asset Assumptions'!$C$49</f>
        <v>83</v>
      </c>
      <c r="U44" s="46">
        <f>'Fixed Asset Assumptions'!$C$49</f>
        <v>83</v>
      </c>
      <c r="V44" s="46">
        <f>'Fixed Asset Assumptions'!$C$49</f>
        <v>83</v>
      </c>
      <c r="W44" s="46">
        <f>'Fixed Asset Assumptions'!$C$49</f>
        <v>83</v>
      </c>
      <c r="X44" s="46">
        <f>'Fixed Asset Assumptions'!$C$49</f>
        <v>83</v>
      </c>
      <c r="Y44" s="46">
        <f>'Fixed Asset Assumptions'!$C$49</f>
        <v>83</v>
      </c>
      <c r="Z44" s="46">
        <f>'Fixed Asset Assumptions'!$C$49</f>
        <v>83</v>
      </c>
      <c r="AA44" s="46">
        <f t="shared" si="34"/>
        <v>996</v>
      </c>
      <c r="AB44" s="46">
        <f>'Fixed Asset Assumptions'!$D$49</f>
        <v>250</v>
      </c>
      <c r="AC44" s="46">
        <f>'Fixed Asset Assumptions'!$D$49</f>
        <v>250</v>
      </c>
      <c r="AD44" s="46">
        <f>'Fixed Asset Assumptions'!$D$49</f>
        <v>250</v>
      </c>
      <c r="AE44" s="46">
        <f>'Fixed Asset Assumptions'!$D$49</f>
        <v>250</v>
      </c>
      <c r="AF44" s="43">
        <f t="shared" si="32"/>
        <v>1000</v>
      </c>
      <c r="AG44" s="63">
        <f>'Fixed Asset Assumptions'!$E$49</f>
        <v>250</v>
      </c>
      <c r="AH44" s="64">
        <f>'Fixed Asset Assumptions'!$E$49</f>
        <v>250</v>
      </c>
      <c r="AI44" s="64">
        <f>'Fixed Asset Assumptions'!$E$49</f>
        <v>250</v>
      </c>
      <c r="AJ44" s="64">
        <f>'Fixed Asset Assumptions'!$E$49</f>
        <v>250</v>
      </c>
      <c r="AK44" s="69">
        <f t="shared" si="33"/>
        <v>1000</v>
      </c>
      <c r="AL44" s="46">
        <f>'Fixed Asset Assumptions'!F49</f>
        <v>1000</v>
      </c>
    </row>
    <row r="45" spans="1:38" x14ac:dyDescent="0.25">
      <c r="A45" s="1" t="str">
        <f>'Income Statement Assumptions'!A130</f>
        <v>Payroll Tax Expense</v>
      </c>
      <c r="B45" s="46">
        <f>ROUND(((B39+B40+B55)*'Income Statement Assumptions'!$B$148),0)</f>
        <v>4167</v>
      </c>
      <c r="C45" s="46">
        <f>ROUND(((C39+C40+C55)*'Income Statement Assumptions'!$B$148),0)</f>
        <v>4167</v>
      </c>
      <c r="D45" s="46">
        <f>ROUND(((D39+D40+D55)*'Income Statement Assumptions'!$B$148),0)</f>
        <v>4167</v>
      </c>
      <c r="E45" s="46">
        <f>ROUND(((E39+E40+E55)*'Income Statement Assumptions'!$B$148),0)</f>
        <v>4167</v>
      </c>
      <c r="F45" s="46">
        <f>ROUND(((F39+F40+F55)*'Income Statement Assumptions'!$B$148),0)</f>
        <v>4167</v>
      </c>
      <c r="G45" s="46">
        <f>ROUND(((G39+G40+G55)*'Income Statement Assumptions'!$B$148),0)</f>
        <v>4167</v>
      </c>
      <c r="H45" s="46">
        <f>ROUND(((H39+H40+H55)*'Income Statement Assumptions'!$B$148),0)</f>
        <v>4167</v>
      </c>
      <c r="I45" s="46">
        <f>ROUND(((I39+I40+I55)*'Income Statement Assumptions'!$B$148),0)</f>
        <v>4167</v>
      </c>
      <c r="J45" s="46">
        <f>ROUND(((J39+J40+J55)*'Income Statement Assumptions'!$B$148),0)</f>
        <v>4167</v>
      </c>
      <c r="K45" s="46">
        <f>ROUND(((K39+K40+K55)*'Income Statement Assumptions'!$B$148),0)</f>
        <v>4167</v>
      </c>
      <c r="L45" s="46">
        <f>ROUND(((L39+L40+L55)*'Income Statement Assumptions'!$B$148),0)</f>
        <v>4167</v>
      </c>
      <c r="M45" s="46">
        <f>ROUND(((M39+M40+M55)*'Income Statement Assumptions'!$B$148),0)</f>
        <v>4167</v>
      </c>
      <c r="N45" s="43">
        <f t="shared" si="31"/>
        <v>50004</v>
      </c>
      <c r="O45" s="46">
        <f>ROUND(((O39+O40+O55)*'Income Statement Assumptions'!$B$148),0)</f>
        <v>5038</v>
      </c>
      <c r="P45" s="46">
        <f>ROUND(((P39+P40+P55)*'Income Statement Assumptions'!$B$148),0)</f>
        <v>5038</v>
      </c>
      <c r="Q45" s="46">
        <f>ROUND(((Q39+Q40+Q55)*'Income Statement Assumptions'!$B$148),0)</f>
        <v>5038</v>
      </c>
      <c r="R45" s="46">
        <f>ROUND(((R39+R40+R55)*'Income Statement Assumptions'!$B$148),0)</f>
        <v>5038</v>
      </c>
      <c r="S45" s="46">
        <f>ROUND(((S39+S40+S55)*'Income Statement Assumptions'!$B$148),0)</f>
        <v>5038</v>
      </c>
      <c r="T45" s="46">
        <f>ROUND(((T39+T40+T55)*'Income Statement Assumptions'!$B$148),0)</f>
        <v>5038</v>
      </c>
      <c r="U45" s="46">
        <f>ROUND(((U39+U40+U55)*'Income Statement Assumptions'!$B$148),0)</f>
        <v>5038</v>
      </c>
      <c r="V45" s="46">
        <f>ROUND(((V39+V40+V55)*'Income Statement Assumptions'!$B$148),0)</f>
        <v>5038</v>
      </c>
      <c r="W45" s="46">
        <f>ROUND(((W39+W40+W55)*'Income Statement Assumptions'!$B$148),0)</f>
        <v>5038</v>
      </c>
      <c r="X45" s="46">
        <f>ROUND(((X39+X40+X55)*'Income Statement Assumptions'!$B$148),0)</f>
        <v>5038</v>
      </c>
      <c r="Y45" s="46">
        <f>ROUND(((Y39+Y40+Y55)*'Income Statement Assumptions'!$B$148),0)</f>
        <v>5038</v>
      </c>
      <c r="Z45" s="46">
        <f>ROUND(((Z39+Z40+Z55)*'Income Statement Assumptions'!$B$148),0)</f>
        <v>5038</v>
      </c>
      <c r="AA45" s="46">
        <f t="shared" si="34"/>
        <v>60456</v>
      </c>
      <c r="AB45" s="46">
        <f>ROUND(((AB39+AB40+AB55)*'Income Statement Assumptions'!$B$148),0)</f>
        <v>16752</v>
      </c>
      <c r="AC45" s="46">
        <f>ROUND(((AC39+AC40+AC55)*'Income Statement Assumptions'!$B$148),0)</f>
        <v>16752</v>
      </c>
      <c r="AD45" s="46">
        <f>ROUND(((AD39+AD40+AD55)*'Income Statement Assumptions'!$B$148),0)</f>
        <v>16752</v>
      </c>
      <c r="AE45" s="46">
        <f>ROUND(((AE39+AE40+AE55)*'Income Statement Assumptions'!$B$148),0)</f>
        <v>16752</v>
      </c>
      <c r="AF45" s="43">
        <f t="shared" si="32"/>
        <v>67008</v>
      </c>
      <c r="AG45" s="63">
        <f>ROUND(((AG39+AG40+AG55)*'Income Statement Assumptions'!$B$148),0)</f>
        <v>18294</v>
      </c>
      <c r="AH45" s="64">
        <f>ROUND(((AH39+AH40+AH55)*'Income Statement Assumptions'!$B$148),0)</f>
        <v>18294</v>
      </c>
      <c r="AI45" s="64">
        <f>ROUND(((AI39+AI40+AI55)*'Income Statement Assumptions'!$B$148),0)</f>
        <v>18294</v>
      </c>
      <c r="AJ45" s="64">
        <f>ROUND(((AJ39+AJ40+AJ55)*'Income Statement Assumptions'!$B$148),0)</f>
        <v>18294</v>
      </c>
      <c r="AK45" s="69">
        <f t="shared" si="33"/>
        <v>73176</v>
      </c>
      <c r="AL45" s="46">
        <f>ROUND(((AL39+AL40+AL55)*'Income Statement Assumptions'!$B$148),0)</f>
        <v>85360</v>
      </c>
    </row>
    <row r="46" spans="1:38" x14ac:dyDescent="0.25">
      <c r="A46" s="1" t="str">
        <f>'Income Statement Assumptions'!A131</f>
        <v>Product Liability Insurance</v>
      </c>
      <c r="B46" s="113"/>
      <c r="C46" s="46"/>
      <c r="D46" s="46"/>
      <c r="E46" s="46"/>
      <c r="F46" s="46"/>
      <c r="G46" s="46"/>
      <c r="H46" s="46"/>
      <c r="I46" s="46">
        <f>ROUND('Income Statement Assumptions'!$B131/12,0)</f>
        <v>3333</v>
      </c>
      <c r="J46" s="46">
        <f>ROUND('Income Statement Assumptions'!$B131/12,0)</f>
        <v>3333</v>
      </c>
      <c r="K46" s="46">
        <f>ROUND('Income Statement Assumptions'!$B131/12,0)</f>
        <v>3333</v>
      </c>
      <c r="L46" s="46">
        <f>ROUND('Income Statement Assumptions'!$B131/12,0)</f>
        <v>3333</v>
      </c>
      <c r="M46" s="46">
        <f>ROUND('Income Statement Assumptions'!$B131/12,0)</f>
        <v>3333</v>
      </c>
      <c r="N46" s="43">
        <f t="shared" si="31"/>
        <v>16665</v>
      </c>
      <c r="O46" s="46">
        <f>ROUND(('Income Statement Assumptions'!$B131*(1+'Income Statement Assumptions'!$F$131))/12,0)</f>
        <v>3347</v>
      </c>
      <c r="P46" s="46">
        <f>ROUND(('Income Statement Assumptions'!$B131*(1+'Income Statement Assumptions'!$F$131))/12,0)</f>
        <v>3347</v>
      </c>
      <c r="Q46" s="46">
        <f>ROUND(('Income Statement Assumptions'!$B131*(1+'Income Statement Assumptions'!$F$131))/12,0)</f>
        <v>3347</v>
      </c>
      <c r="R46" s="46">
        <f>ROUND(('Income Statement Assumptions'!$B131*(1+'Income Statement Assumptions'!$F$131))/12,0)</f>
        <v>3347</v>
      </c>
      <c r="S46" s="46">
        <f>ROUND(('Income Statement Assumptions'!$B131*(1+'Income Statement Assumptions'!$F$131))/12,0)</f>
        <v>3347</v>
      </c>
      <c r="T46" s="46">
        <f>ROUND(('Income Statement Assumptions'!$B131*(1+'Income Statement Assumptions'!$F$131))/12,0)</f>
        <v>3347</v>
      </c>
      <c r="U46" s="46">
        <f>ROUND(('Income Statement Assumptions'!$B131*(1+'Income Statement Assumptions'!$F$131))/12,0)</f>
        <v>3347</v>
      </c>
      <c r="V46" s="46">
        <f>ROUND(('Income Statement Assumptions'!$B131*(1+'Income Statement Assumptions'!$F$131))/12,0)</f>
        <v>3347</v>
      </c>
      <c r="W46" s="46">
        <f>ROUND(('Income Statement Assumptions'!$B131*(1+'Income Statement Assumptions'!$F$131))/12,0)</f>
        <v>3347</v>
      </c>
      <c r="X46" s="46">
        <f>ROUND(('Income Statement Assumptions'!$B131*(1+'Income Statement Assumptions'!$F$131))/12,0)</f>
        <v>3347</v>
      </c>
      <c r="Y46" s="46">
        <f>ROUND(('Income Statement Assumptions'!$B131*(1+'Income Statement Assumptions'!$F$131))/12,0)</f>
        <v>3347</v>
      </c>
      <c r="Z46" s="46">
        <f>ROUND(('Income Statement Assumptions'!$B131*(1+'Income Statement Assumptions'!$F$131))/12,0)</f>
        <v>3347</v>
      </c>
      <c r="AA46" s="46">
        <f t="shared" si="34"/>
        <v>40164</v>
      </c>
      <c r="AB46" s="46">
        <f>ROUND(('Income Statement Assumptions'!$B131*(1+'Income Statement Assumptions'!$D131)*(1+'Income Statement Assumptions'!$G131)/4),0)</f>
        <v>10631</v>
      </c>
      <c r="AC46" s="46">
        <f>ROUND(('Income Statement Assumptions'!$B131*(1+'Income Statement Assumptions'!$D131)*(1+'Income Statement Assumptions'!$G131)/4),0)</f>
        <v>10631</v>
      </c>
      <c r="AD46" s="46">
        <f>ROUND(('Income Statement Assumptions'!$B131*(1+'Income Statement Assumptions'!$D131)*(1+'Income Statement Assumptions'!$G131)/4),0)</f>
        <v>10631</v>
      </c>
      <c r="AE46" s="46">
        <f>ROUND(('Income Statement Assumptions'!$B131*(1+'Income Statement Assumptions'!$D131)*(1+'Income Statement Assumptions'!$G131)/4),0)</f>
        <v>10631</v>
      </c>
      <c r="AF46" s="43">
        <f t="shared" si="32"/>
        <v>42524</v>
      </c>
      <c r="AG46" s="63">
        <f>ROUND(('Income Statement Assumptions'!$B131*(1+'Income Statement Assumptions'!$D131)*(1+'Income Statement Assumptions'!$D131)*(1+'Income Statement Assumptions'!$H131)/4),0)</f>
        <v>11163</v>
      </c>
      <c r="AH46" s="64">
        <f>ROUND(('Income Statement Assumptions'!$B131*(1+'Income Statement Assumptions'!$D131)*(1+'Income Statement Assumptions'!$D131)*(1+'Income Statement Assumptions'!$H131)/4),0)</f>
        <v>11163</v>
      </c>
      <c r="AI46" s="64">
        <f>ROUND(('Income Statement Assumptions'!$B131*(1+'Income Statement Assumptions'!$D131)*(1+'Income Statement Assumptions'!$D131)*(1+'Income Statement Assumptions'!$H131)/4),0)</f>
        <v>11163</v>
      </c>
      <c r="AJ46" s="64">
        <f>ROUND(('Income Statement Assumptions'!$B131*(1+'Income Statement Assumptions'!$D131)*(1+'Income Statement Assumptions'!$D131)*(1+'Income Statement Assumptions'!$H131)/4),0)</f>
        <v>11163</v>
      </c>
      <c r="AK46" s="69">
        <f t="shared" si="33"/>
        <v>44652</v>
      </c>
      <c r="AL46" s="46">
        <f>ROUND(('Income Statement Assumptions'!$B131*(1+'Income Statement Assumptions'!$D131)*(1+'Income Statement Assumptions'!$D131)*(1+'Income Statement Assumptions'!$D131)*(1+'Income Statement Assumptions'!$I131)),0)</f>
        <v>48620</v>
      </c>
    </row>
    <row r="47" spans="1:38" x14ac:dyDescent="0.25">
      <c r="A47" s="1" t="str">
        <f>'Income Statement Assumptions'!A132</f>
        <v>Vehicle Leases</v>
      </c>
      <c r="B47" s="46">
        <f>ROUND('Income Statement Assumptions'!$B132/12,0)</f>
        <v>1667</v>
      </c>
      <c r="C47" s="46">
        <f>ROUND('Income Statement Assumptions'!$B132/12,0)</f>
        <v>1667</v>
      </c>
      <c r="D47" s="46">
        <f>ROUND('Income Statement Assumptions'!$B132/12,0)</f>
        <v>1667</v>
      </c>
      <c r="E47" s="46">
        <f>ROUND('Income Statement Assumptions'!$B132/12,0)</f>
        <v>1667</v>
      </c>
      <c r="F47" s="46">
        <f>ROUND('Income Statement Assumptions'!$B132/12,0)</f>
        <v>1667</v>
      </c>
      <c r="G47" s="46">
        <f>ROUND('Income Statement Assumptions'!$B132/12,0)</f>
        <v>1667</v>
      </c>
      <c r="H47" s="46">
        <f>ROUND('Income Statement Assumptions'!$B132/12,0)</f>
        <v>1667</v>
      </c>
      <c r="I47" s="46">
        <f>ROUND('Income Statement Assumptions'!$B132/12,0)</f>
        <v>1667</v>
      </c>
      <c r="J47" s="46">
        <f>ROUND('Income Statement Assumptions'!$B132/12,0)</f>
        <v>1667</v>
      </c>
      <c r="K47" s="46">
        <f>ROUND('Income Statement Assumptions'!$B132/12,0)</f>
        <v>1667</v>
      </c>
      <c r="L47" s="46">
        <f>ROUND('Income Statement Assumptions'!$B132/12,0)</f>
        <v>1667</v>
      </c>
      <c r="M47" s="46">
        <f>ROUND('Income Statement Assumptions'!$B132/12,0)</f>
        <v>1667</v>
      </c>
      <c r="N47" s="43">
        <f t="shared" si="31"/>
        <v>20004</v>
      </c>
      <c r="O47" s="46">
        <f>ROUND(('Income Statement Assumptions'!$B132*(1+'Income Statement Assumptions'!$F$132))/12,0)</f>
        <v>1667</v>
      </c>
      <c r="P47" s="46">
        <f>ROUND(('Income Statement Assumptions'!$B132*(1+'Income Statement Assumptions'!$F$132))/12,0)</f>
        <v>1667</v>
      </c>
      <c r="Q47" s="46">
        <f>ROUND(('Income Statement Assumptions'!$B132*(1+'Income Statement Assumptions'!$F$132))/12,0)</f>
        <v>1667</v>
      </c>
      <c r="R47" s="46">
        <f>ROUND(('Income Statement Assumptions'!$B132*(1+'Income Statement Assumptions'!$F$132))/12,0)</f>
        <v>1667</v>
      </c>
      <c r="S47" s="46">
        <f>ROUND(('Income Statement Assumptions'!$B132*(1+'Income Statement Assumptions'!$F$132))/12,0)</f>
        <v>1667</v>
      </c>
      <c r="T47" s="46">
        <f>ROUND(('Income Statement Assumptions'!$B132*(1+'Income Statement Assumptions'!$F$132))/12,0)</f>
        <v>1667</v>
      </c>
      <c r="U47" s="46">
        <f>ROUND(('Income Statement Assumptions'!$B132*(1+'Income Statement Assumptions'!$F$132))/12,0)</f>
        <v>1667</v>
      </c>
      <c r="V47" s="46">
        <f>ROUND(('Income Statement Assumptions'!$B132*(1+'Income Statement Assumptions'!$F$132))/12,0)</f>
        <v>1667</v>
      </c>
      <c r="W47" s="46">
        <f>ROUND(('Income Statement Assumptions'!$B132*(1+'Income Statement Assumptions'!$F$132))/12,0)</f>
        <v>1667</v>
      </c>
      <c r="X47" s="46">
        <f>ROUND(('Income Statement Assumptions'!$B132*(1+'Income Statement Assumptions'!$F$132))/12,0)</f>
        <v>1667</v>
      </c>
      <c r="Y47" s="46">
        <f>ROUND(('Income Statement Assumptions'!$B132*(1+'Income Statement Assumptions'!$F$132))/12,0)</f>
        <v>1667</v>
      </c>
      <c r="Z47" s="46">
        <f>ROUND(('Income Statement Assumptions'!$B132*(1+'Income Statement Assumptions'!$F$132))/12,0)</f>
        <v>1667</v>
      </c>
      <c r="AA47" s="46">
        <f t="shared" si="34"/>
        <v>20004</v>
      </c>
      <c r="AB47" s="46">
        <f>ROUND(('Income Statement Assumptions'!$B132*(1+'Income Statement Assumptions'!$D132)*(1+'Income Statement Assumptions'!$G132)/4),0)</f>
        <v>5000</v>
      </c>
      <c r="AC47" s="46">
        <f>ROUND(('Income Statement Assumptions'!$B132*(1+'Income Statement Assumptions'!$D132)*(1+'Income Statement Assumptions'!$G132)/4),0)</f>
        <v>5000</v>
      </c>
      <c r="AD47" s="46">
        <f>ROUND(('Income Statement Assumptions'!$B132*(1+'Income Statement Assumptions'!$D132)*(1+'Income Statement Assumptions'!$G132)/4),0)</f>
        <v>5000</v>
      </c>
      <c r="AE47" s="46">
        <f>ROUND(('Income Statement Assumptions'!$B132*(1+'Income Statement Assumptions'!$D132)*(1+'Income Statement Assumptions'!$G132)/4),0)</f>
        <v>5000</v>
      </c>
      <c r="AF47" s="43">
        <f t="shared" si="32"/>
        <v>20000</v>
      </c>
      <c r="AG47" s="63">
        <f>ROUND(('Income Statement Assumptions'!$B132*(1+'Income Statement Assumptions'!$D132)*(1+'Income Statement Assumptions'!$D132)*(1+'Income Statement Assumptions'!$H132)/4),0)</f>
        <v>5000</v>
      </c>
      <c r="AH47" s="64">
        <f>ROUND(('Income Statement Assumptions'!$B132*(1+'Income Statement Assumptions'!$D132)*(1+'Income Statement Assumptions'!$D132)*(1+'Income Statement Assumptions'!$H132)/4),0)</f>
        <v>5000</v>
      </c>
      <c r="AI47" s="64">
        <f>ROUND(('Income Statement Assumptions'!$B132*(1+'Income Statement Assumptions'!$D132)*(1+'Income Statement Assumptions'!$D132)*(1+'Income Statement Assumptions'!$H132)/4),0)</f>
        <v>5000</v>
      </c>
      <c r="AJ47" s="64">
        <f>ROUND(('Income Statement Assumptions'!$B132*(1+'Income Statement Assumptions'!$D132)*(1+'Income Statement Assumptions'!$D132)*(1+'Income Statement Assumptions'!$H132)/4),0)</f>
        <v>5000</v>
      </c>
      <c r="AK47" s="69">
        <f t="shared" si="33"/>
        <v>20000</v>
      </c>
      <c r="AL47" s="46">
        <f>ROUND(('Income Statement Assumptions'!$B132*(1+'Income Statement Assumptions'!$D132)*(1+'Income Statement Assumptions'!$D132)*(1+'Income Statement Assumptions'!$D132)*(1+'Income Statement Assumptions'!$I132)),0)</f>
        <v>20000</v>
      </c>
    </row>
    <row r="48" spans="1:38" x14ac:dyDescent="0.25">
      <c r="A48" s="1" t="str">
        <f>'Income Statement Assumptions'!A133</f>
        <v>Vehicle maintenance</v>
      </c>
      <c r="B48" s="46">
        <f>ROUND('Income Statement Assumptions'!$B133/12,0)</f>
        <v>167</v>
      </c>
      <c r="C48" s="46">
        <f>ROUND('Income Statement Assumptions'!$B133/12,0)</f>
        <v>167</v>
      </c>
      <c r="D48" s="46">
        <f>ROUND('Income Statement Assumptions'!$B133/12,0)</f>
        <v>167</v>
      </c>
      <c r="E48" s="46">
        <f>ROUND('Income Statement Assumptions'!$B133/12,0)</f>
        <v>167</v>
      </c>
      <c r="F48" s="46">
        <f>ROUND('Income Statement Assumptions'!$B133/12,0)</f>
        <v>167</v>
      </c>
      <c r="G48" s="46">
        <f>ROUND('Income Statement Assumptions'!$B133/12,0)</f>
        <v>167</v>
      </c>
      <c r="H48" s="46">
        <f>ROUND('Income Statement Assumptions'!$B133/12,0)</f>
        <v>167</v>
      </c>
      <c r="I48" s="46">
        <f>ROUND('Income Statement Assumptions'!$B133/12,0)</f>
        <v>167</v>
      </c>
      <c r="J48" s="46">
        <f>ROUND('Income Statement Assumptions'!$B133/12,0)</f>
        <v>167</v>
      </c>
      <c r="K48" s="46">
        <f>ROUND('Income Statement Assumptions'!$B133/12,0)</f>
        <v>167</v>
      </c>
      <c r="L48" s="46">
        <f>ROUND('Income Statement Assumptions'!$B133/12,0)</f>
        <v>167</v>
      </c>
      <c r="M48" s="46">
        <f>ROUND('Income Statement Assumptions'!$B133/12,0)</f>
        <v>167</v>
      </c>
      <c r="N48" s="43">
        <f t="shared" si="31"/>
        <v>2004</v>
      </c>
      <c r="O48" s="46">
        <f>ROUND(('Income Statement Assumptions'!$B133*(1+'Income Statement Assumptions'!$F$133))/12,0)</f>
        <v>167</v>
      </c>
      <c r="P48" s="46">
        <f>ROUND(('Income Statement Assumptions'!$B133*(1+'Income Statement Assumptions'!$F$133))/12,0)</f>
        <v>167</v>
      </c>
      <c r="Q48" s="46">
        <f>ROUND(('Income Statement Assumptions'!$B133*(1+'Income Statement Assumptions'!$F$133))/12,0)</f>
        <v>167</v>
      </c>
      <c r="R48" s="46">
        <f>ROUND(('Income Statement Assumptions'!$B133*(1+'Income Statement Assumptions'!$F$133))/12,0)</f>
        <v>167</v>
      </c>
      <c r="S48" s="46">
        <f>ROUND(('Income Statement Assumptions'!$B133*(1+'Income Statement Assumptions'!$F$133))/12,0)</f>
        <v>167</v>
      </c>
      <c r="T48" s="46">
        <f>ROUND(('Income Statement Assumptions'!$B133*(1+'Income Statement Assumptions'!$F$133))/12,0)</f>
        <v>167</v>
      </c>
      <c r="U48" s="46">
        <f>ROUND(('Income Statement Assumptions'!$B133*(1+'Income Statement Assumptions'!$F$133))/12,0)</f>
        <v>167</v>
      </c>
      <c r="V48" s="46">
        <f>ROUND(('Income Statement Assumptions'!$B133*(1+'Income Statement Assumptions'!$F$133))/12,0)</f>
        <v>167</v>
      </c>
      <c r="W48" s="46">
        <f>ROUND(('Income Statement Assumptions'!$B133*(1+'Income Statement Assumptions'!$F$133))/12,0)</f>
        <v>167</v>
      </c>
      <c r="X48" s="46">
        <f>ROUND(('Income Statement Assumptions'!$B133*(1+'Income Statement Assumptions'!$F$133))/12,0)</f>
        <v>167</v>
      </c>
      <c r="Y48" s="46">
        <f>ROUND(('Income Statement Assumptions'!$B133*(1+'Income Statement Assumptions'!$F$133))/12,0)</f>
        <v>167</v>
      </c>
      <c r="Z48" s="46">
        <f>ROUND(('Income Statement Assumptions'!$B133*(1+'Income Statement Assumptions'!$F$133))/12,0)</f>
        <v>167</v>
      </c>
      <c r="AA48" s="46">
        <f t="shared" si="34"/>
        <v>2004</v>
      </c>
      <c r="AB48" s="46">
        <f>ROUND(('Income Statement Assumptions'!$B133*(1+'Income Statement Assumptions'!$D133)*(1+'Income Statement Assumptions'!$G133)/4),0)</f>
        <v>532</v>
      </c>
      <c r="AC48" s="46">
        <f>ROUND(('Income Statement Assumptions'!$B133*(1+'Income Statement Assumptions'!$D133)*(1+'Income Statement Assumptions'!$G133)/4),0)</f>
        <v>532</v>
      </c>
      <c r="AD48" s="46">
        <f>ROUND(('Income Statement Assumptions'!$B133*(1+'Income Statement Assumptions'!$D133)*(1+'Income Statement Assumptions'!$G133)/4),0)</f>
        <v>532</v>
      </c>
      <c r="AE48" s="46">
        <f>ROUND(('Income Statement Assumptions'!$B133*(1+'Income Statement Assumptions'!$D133)*(1+'Income Statement Assumptions'!$G133)/4),0)</f>
        <v>532</v>
      </c>
      <c r="AF48" s="43">
        <f t="shared" si="32"/>
        <v>2128</v>
      </c>
      <c r="AG48" s="63">
        <f>ROUND(('Income Statement Assumptions'!$B133*(1+'Income Statement Assumptions'!$D133)*(1+'Income Statement Assumptions'!$D133)*(1+'Income Statement Assumptions'!$H133)/4),0)</f>
        <v>558</v>
      </c>
      <c r="AH48" s="64">
        <f>ROUND(('Income Statement Assumptions'!$B133*(1+'Income Statement Assumptions'!$D133)*(1+'Income Statement Assumptions'!$D133)*(1+'Income Statement Assumptions'!$H133)/4),0)</f>
        <v>558</v>
      </c>
      <c r="AI48" s="64">
        <f>ROUND(('Income Statement Assumptions'!$B133*(1+'Income Statement Assumptions'!$D133)*(1+'Income Statement Assumptions'!$D133)*(1+'Income Statement Assumptions'!$H133)/4),0)</f>
        <v>558</v>
      </c>
      <c r="AJ48" s="64">
        <f>ROUND(('Income Statement Assumptions'!$B133*(1+'Income Statement Assumptions'!$D133)*(1+'Income Statement Assumptions'!$D133)*(1+'Income Statement Assumptions'!$H133)/4),0)</f>
        <v>558</v>
      </c>
      <c r="AK48" s="69">
        <f t="shared" si="33"/>
        <v>2232</v>
      </c>
      <c r="AL48" s="46">
        <f>ROUND(('Income Statement Assumptions'!$B133*(1+'Income Statement Assumptions'!$D133)*(1+'Income Statement Assumptions'!$D133)*(1+'Income Statement Assumptions'!$D133)*(1+'Income Statement Assumptions'!$I133)),0)</f>
        <v>2431</v>
      </c>
    </row>
    <row r="49" spans="1:38" x14ac:dyDescent="0.25">
      <c r="A49" s="1">
        <f>'Income Statement Assumptions'!A134</f>
        <v>0</v>
      </c>
      <c r="B49" s="46">
        <f>ROUND('Income Statement Assumptions'!$B134/12,0)</f>
        <v>0</v>
      </c>
      <c r="C49" s="46">
        <f>ROUND('Income Statement Assumptions'!$B134/12,0)</f>
        <v>0</v>
      </c>
      <c r="D49" s="46">
        <f>ROUND('Income Statement Assumptions'!$B134/12,0)</f>
        <v>0</v>
      </c>
      <c r="E49" s="46">
        <f>ROUND('Income Statement Assumptions'!$B134/12,0)</f>
        <v>0</v>
      </c>
      <c r="F49" s="46">
        <f>ROUND('Income Statement Assumptions'!$B134/12,0)</f>
        <v>0</v>
      </c>
      <c r="G49" s="46">
        <f>ROUND('Income Statement Assumptions'!$B134/12,0)</f>
        <v>0</v>
      </c>
      <c r="H49" s="46">
        <f>ROUND('Income Statement Assumptions'!$B134/12,0)</f>
        <v>0</v>
      </c>
      <c r="I49" s="46">
        <f>ROUND('Income Statement Assumptions'!$B134/12,0)</f>
        <v>0</v>
      </c>
      <c r="J49" s="46">
        <f>ROUND('Income Statement Assumptions'!$B134/12,0)</f>
        <v>0</v>
      </c>
      <c r="K49" s="46">
        <f>ROUND('Income Statement Assumptions'!$B134/12,0)</f>
        <v>0</v>
      </c>
      <c r="L49" s="46">
        <f>ROUND('Income Statement Assumptions'!$B134/12,0)</f>
        <v>0</v>
      </c>
      <c r="M49" s="46">
        <f>ROUND('Income Statement Assumptions'!$B134/12,0)</f>
        <v>0</v>
      </c>
      <c r="N49" s="43">
        <f t="shared" si="31"/>
        <v>0</v>
      </c>
      <c r="O49" s="46">
        <f>ROUND(('Income Statement Assumptions'!$B134*(1+'Income Statement Assumptions'!$F$123))/12,0)</f>
        <v>0</v>
      </c>
      <c r="P49" s="46">
        <f>ROUND(('Income Statement Assumptions'!$B134*(1+'Income Statement Assumptions'!$F$123))/12,0)</f>
        <v>0</v>
      </c>
      <c r="Q49" s="46">
        <f>ROUND(('Income Statement Assumptions'!$B134*(1+'Income Statement Assumptions'!$F$123))/12,0)</f>
        <v>0</v>
      </c>
      <c r="R49" s="46">
        <f>ROUND(('Income Statement Assumptions'!$B134*(1+'Income Statement Assumptions'!$F$123))/12,0)</f>
        <v>0</v>
      </c>
      <c r="S49" s="46">
        <f>ROUND(('Income Statement Assumptions'!$B134*(1+'Income Statement Assumptions'!$F$123))/12,0)</f>
        <v>0</v>
      </c>
      <c r="T49" s="46">
        <f>ROUND(('Income Statement Assumptions'!$B134*(1+'Income Statement Assumptions'!$F$123))/12,0)</f>
        <v>0</v>
      </c>
      <c r="U49" s="46">
        <f>ROUND(('Income Statement Assumptions'!$B134*(1+'Income Statement Assumptions'!$F$123))/12,0)</f>
        <v>0</v>
      </c>
      <c r="V49" s="46">
        <f>ROUND(('Income Statement Assumptions'!$B134*(1+'Income Statement Assumptions'!$F$123))/12,0)</f>
        <v>0</v>
      </c>
      <c r="W49" s="46">
        <f>ROUND(('Income Statement Assumptions'!$B134*(1+'Income Statement Assumptions'!$F$123))/12,0)</f>
        <v>0</v>
      </c>
      <c r="X49" s="46">
        <f>ROUND(('Income Statement Assumptions'!$B134*(1+'Income Statement Assumptions'!$F$123))/12,0)</f>
        <v>0</v>
      </c>
      <c r="Y49" s="46">
        <f>ROUND(('Income Statement Assumptions'!$B134*(1+'Income Statement Assumptions'!$F$123))/12,0)</f>
        <v>0</v>
      </c>
      <c r="Z49" s="46">
        <f>ROUND(('Income Statement Assumptions'!$B134*(1+'Income Statement Assumptions'!$F$123))/12,0)</f>
        <v>0</v>
      </c>
      <c r="AA49" s="46">
        <f t="shared" si="34"/>
        <v>0</v>
      </c>
      <c r="AB49" s="46">
        <f>ROUND(('Income Statement Assumptions'!$B134*(1+'Income Statement Assumptions'!$D134)*(1+'Income Statement Assumptions'!$G134)/4),0)</f>
        <v>0</v>
      </c>
      <c r="AC49" s="46">
        <f>ROUND(('Income Statement Assumptions'!$B134*(1+'Income Statement Assumptions'!$D134)*(1+'Income Statement Assumptions'!$G134)/4),0)</f>
        <v>0</v>
      </c>
      <c r="AD49" s="46">
        <f>ROUND(('Income Statement Assumptions'!$B134*(1+'Income Statement Assumptions'!$D134)*(1+'Income Statement Assumptions'!$G134)/4),0)</f>
        <v>0</v>
      </c>
      <c r="AE49" s="46">
        <f>ROUND(('Income Statement Assumptions'!$B134*(1+'Income Statement Assumptions'!$D134)*(1+'Income Statement Assumptions'!$G134)/4),0)</f>
        <v>0</v>
      </c>
      <c r="AF49" s="43">
        <f t="shared" si="32"/>
        <v>0</v>
      </c>
      <c r="AG49" s="63">
        <f>ROUND(('Income Statement Assumptions'!$B134*(1+'Income Statement Assumptions'!$D134)*(1+'Income Statement Assumptions'!$D134)*(1+'Income Statement Assumptions'!$H134)/4),0)</f>
        <v>0</v>
      </c>
      <c r="AH49" s="64">
        <f>ROUND(('Income Statement Assumptions'!$B134*(1+'Income Statement Assumptions'!$D134)*(1+'Income Statement Assumptions'!$D134)*(1+'Income Statement Assumptions'!$H134)/4),0)</f>
        <v>0</v>
      </c>
      <c r="AI49" s="64">
        <f>ROUND(('Income Statement Assumptions'!$B134*(1+'Income Statement Assumptions'!$D134)*(1+'Income Statement Assumptions'!$D134)*(1+'Income Statement Assumptions'!$H134)/4),0)</f>
        <v>0</v>
      </c>
      <c r="AJ49" s="64">
        <f>ROUND(('Income Statement Assumptions'!$B134*(1+'Income Statement Assumptions'!$D134)*(1+'Income Statement Assumptions'!$D134)*(1+'Income Statement Assumptions'!$H134)/4),0)</f>
        <v>0</v>
      </c>
      <c r="AK49" s="69">
        <f t="shared" si="33"/>
        <v>0</v>
      </c>
      <c r="AL49" s="46">
        <f>ROUND(('Income Statement Assumptions'!$B134*(1+'Income Statement Assumptions'!$D134)*(1+'Income Statement Assumptions'!$D134)*(1+'Income Statement Assumptions'!$D134)*(1+'Income Statement Assumptions'!$I134)),0)</f>
        <v>0</v>
      </c>
    </row>
    <row r="50" spans="1:38" ht="18.75" x14ac:dyDescent="0.25">
      <c r="A50" s="36" t="str">
        <f>'Income Statement Assumptions'!A135</f>
        <v>Selling:</v>
      </c>
      <c r="B50" s="46"/>
      <c r="C50" s="46"/>
      <c r="D50" s="46"/>
      <c r="E50" s="46"/>
      <c r="F50" s="46"/>
      <c r="G50" s="46"/>
      <c r="H50" s="46"/>
      <c r="I50" s="46"/>
      <c r="J50" s="46"/>
      <c r="K50" s="46"/>
      <c r="L50" s="46"/>
      <c r="M50" s="46"/>
      <c r="N50" s="43"/>
      <c r="O50" s="46"/>
      <c r="P50" s="46"/>
      <c r="Q50" s="46"/>
      <c r="R50" s="46"/>
      <c r="S50" s="46"/>
      <c r="T50" s="46"/>
      <c r="U50" s="46"/>
      <c r="V50" s="46"/>
      <c r="W50" s="46"/>
      <c r="X50" s="46"/>
      <c r="Y50" s="46"/>
      <c r="Z50" s="46"/>
      <c r="AA50" s="46"/>
      <c r="AB50" s="46"/>
      <c r="AC50" s="46"/>
      <c r="AD50" s="46"/>
      <c r="AE50" s="46"/>
      <c r="AF50" s="43"/>
      <c r="AG50" s="63"/>
      <c r="AH50" s="64"/>
      <c r="AI50" s="64"/>
      <c r="AJ50" s="64"/>
      <c r="AK50" s="69"/>
      <c r="AL50" s="46"/>
    </row>
    <row r="51" spans="1:38" x14ac:dyDescent="0.25">
      <c r="A51" s="1" t="str">
        <f>'Income Statement Assumptions'!A136</f>
        <v>Marketing &amp; Advertising Expense</v>
      </c>
      <c r="B51" s="46">
        <f>ROUND('Income Statement Assumptions'!$B136/12,0)</f>
        <v>8333</v>
      </c>
      <c r="C51" s="46">
        <f>ROUND('Income Statement Assumptions'!$B136/12,0)</f>
        <v>8333</v>
      </c>
      <c r="D51" s="46">
        <f>ROUND('Income Statement Assumptions'!$B136/12,0)</f>
        <v>8333</v>
      </c>
      <c r="E51" s="46">
        <f>ROUND('Income Statement Assumptions'!$B136/12,0)</f>
        <v>8333</v>
      </c>
      <c r="F51" s="46">
        <f>ROUND('Income Statement Assumptions'!$B136/12,0)</f>
        <v>8333</v>
      </c>
      <c r="G51" s="46">
        <f>ROUND('Income Statement Assumptions'!$B136/12,0)</f>
        <v>8333</v>
      </c>
      <c r="H51" s="46">
        <f>ROUND('Income Statement Assumptions'!$B136/12,0)</f>
        <v>8333</v>
      </c>
      <c r="I51" s="46">
        <f>ROUND('Income Statement Assumptions'!$B136/12,0)</f>
        <v>8333</v>
      </c>
      <c r="J51" s="46">
        <f>ROUND('Income Statement Assumptions'!$B136/12,0)</f>
        <v>8333</v>
      </c>
      <c r="K51" s="46">
        <f>ROUND('Income Statement Assumptions'!$B136/12,0)</f>
        <v>8333</v>
      </c>
      <c r="L51" s="46">
        <f>ROUND('Income Statement Assumptions'!$B136/12,0)</f>
        <v>8333</v>
      </c>
      <c r="M51" s="46">
        <f>ROUND('Income Statement Assumptions'!$B136/12,0)</f>
        <v>8333</v>
      </c>
      <c r="N51" s="43">
        <f t="shared" si="31"/>
        <v>99996</v>
      </c>
      <c r="O51" s="46">
        <f>ROUND(('Income Statement Assumptions'!$B136*(1+'Income Statement Assumptions'!$F$136))/12,0)</f>
        <v>8438</v>
      </c>
      <c r="P51" s="46">
        <f>ROUND(('Income Statement Assumptions'!$B136*(1+'Income Statement Assumptions'!$F$136))/12,0)</f>
        <v>8438</v>
      </c>
      <c r="Q51" s="46">
        <f>ROUND(('Income Statement Assumptions'!$B136*(1+'Income Statement Assumptions'!$F$136))/12,0)</f>
        <v>8438</v>
      </c>
      <c r="R51" s="46">
        <f>ROUND(('Income Statement Assumptions'!$B136*(1+'Income Statement Assumptions'!$F$136))/12,0)</f>
        <v>8438</v>
      </c>
      <c r="S51" s="46">
        <f>ROUND(('Income Statement Assumptions'!$B136*(1+'Income Statement Assumptions'!$F$136))/12,0)</f>
        <v>8438</v>
      </c>
      <c r="T51" s="46">
        <f>ROUND(('Income Statement Assumptions'!$B136*(1+'Income Statement Assumptions'!$F$136))/12,0)</f>
        <v>8438</v>
      </c>
      <c r="U51" s="46">
        <f>ROUND(('Income Statement Assumptions'!$B136*(1+'Income Statement Assumptions'!$F$136))/12,0)</f>
        <v>8438</v>
      </c>
      <c r="V51" s="46">
        <f>ROUND(('Income Statement Assumptions'!$B136*(1+'Income Statement Assumptions'!$F$136))/12,0)</f>
        <v>8438</v>
      </c>
      <c r="W51" s="46">
        <f>ROUND(('Income Statement Assumptions'!$B136*(1+'Income Statement Assumptions'!$F$136))/12,0)</f>
        <v>8438</v>
      </c>
      <c r="X51" s="46">
        <f>ROUND(('Income Statement Assumptions'!$B136*(1+'Income Statement Assumptions'!$F$136))/12,0)</f>
        <v>8438</v>
      </c>
      <c r="Y51" s="46">
        <f>ROUND(('Income Statement Assumptions'!$B136*(1+'Income Statement Assumptions'!$F$136))/12,0)</f>
        <v>8438</v>
      </c>
      <c r="Z51" s="46">
        <f>ROUND(('Income Statement Assumptions'!$B136*(1+'Income Statement Assumptions'!$F$136))/12,0)</f>
        <v>8438</v>
      </c>
      <c r="AA51" s="46">
        <f t="shared" si="34"/>
        <v>101256</v>
      </c>
      <c r="AB51" s="46">
        <f>ROUND(('Income Statement Assumptions'!$B136*(1+'Income Statement Assumptions'!$D136)*(1+'Income Statement Assumptions'!$G136)/4),0)</f>
        <v>29828</v>
      </c>
      <c r="AC51" s="46">
        <f>ROUND(('Income Statement Assumptions'!$B136*(1+'Income Statement Assumptions'!$D136)*(1+'Income Statement Assumptions'!$G136)/4),0)</f>
        <v>29828</v>
      </c>
      <c r="AD51" s="46">
        <f>ROUND(('Income Statement Assumptions'!$B136*(1+'Income Statement Assumptions'!$D136)*(1+'Income Statement Assumptions'!$G136)/4),0)</f>
        <v>29828</v>
      </c>
      <c r="AE51" s="46">
        <f>ROUND(('Income Statement Assumptions'!$B136*(1+'Income Statement Assumptions'!$D136)*(1+'Income Statement Assumptions'!$G136)/4),0)</f>
        <v>29828</v>
      </c>
      <c r="AF51" s="43">
        <f t="shared" si="32"/>
        <v>119312</v>
      </c>
      <c r="AG51" s="63">
        <f>ROUND(('Income Statement Assumptions'!$B136*(1+'Income Statement Assumptions'!$D136)*(1+'Income Statement Assumptions'!$D136)*(1+'Income Statement Assumptions'!$H136)/4),0)</f>
        <v>34302</v>
      </c>
      <c r="AH51" s="64">
        <f>ROUND(('Income Statement Assumptions'!$B136*(1+'Income Statement Assumptions'!$D136)*(1+'Income Statement Assumptions'!$D136)*(1+'Income Statement Assumptions'!$H136)/4),0)</f>
        <v>34302</v>
      </c>
      <c r="AI51" s="64">
        <f>ROUND(('Income Statement Assumptions'!$B136*(1+'Income Statement Assumptions'!$D136)*(1+'Income Statement Assumptions'!$D136)*(1+'Income Statement Assumptions'!$H136)/4),0)</f>
        <v>34302</v>
      </c>
      <c r="AJ51" s="64">
        <f>ROUND(('Income Statement Assumptions'!$B136*(1+'Income Statement Assumptions'!$D136)*(1+'Income Statement Assumptions'!$D136)*(1+'Income Statement Assumptions'!$H136)/4),0)</f>
        <v>34302</v>
      </c>
      <c r="AK51" s="69">
        <f t="shared" si="33"/>
        <v>137208</v>
      </c>
      <c r="AL51" s="46">
        <f>ROUND(('Income Statement Assumptions'!$B136*(1+'Income Statement Assumptions'!$D136)*(1+'Income Statement Assumptions'!$D136)*(1+'Income Statement Assumptions'!$D136)*(1+'Income Statement Assumptions'!$I136)),0)</f>
        <v>174901</v>
      </c>
    </row>
    <row r="52" spans="1:38" x14ac:dyDescent="0.25">
      <c r="A52" s="1" t="str">
        <f>'Income Statement Assumptions'!A137</f>
        <v>Tradeshows</v>
      </c>
      <c r="B52" s="46">
        <f>ROUND('Income Statement Assumptions'!$B137/12,0)</f>
        <v>3333</v>
      </c>
      <c r="C52" s="46">
        <f>ROUND('Income Statement Assumptions'!$B137/12,0)</f>
        <v>3333</v>
      </c>
      <c r="D52" s="46">
        <f>ROUND('Income Statement Assumptions'!$B137/12,0)</f>
        <v>3333</v>
      </c>
      <c r="E52" s="46">
        <f>ROUND('Income Statement Assumptions'!$B137/12,0)</f>
        <v>3333</v>
      </c>
      <c r="F52" s="46">
        <f>ROUND('Income Statement Assumptions'!$B137/12,0)</f>
        <v>3333</v>
      </c>
      <c r="G52" s="46">
        <f>ROUND('Income Statement Assumptions'!$B137/12,0)</f>
        <v>3333</v>
      </c>
      <c r="H52" s="46">
        <f>ROUND('Income Statement Assumptions'!$B137/12,0)</f>
        <v>3333</v>
      </c>
      <c r="I52" s="46">
        <f>ROUND('Income Statement Assumptions'!$B137/12,0)</f>
        <v>3333</v>
      </c>
      <c r="J52" s="46">
        <f>ROUND('Income Statement Assumptions'!$B137/12,0)</f>
        <v>3333</v>
      </c>
      <c r="K52" s="46">
        <f>ROUND('Income Statement Assumptions'!$B137/12,0)</f>
        <v>3333</v>
      </c>
      <c r="L52" s="46">
        <f>ROUND('Income Statement Assumptions'!$B137/12,0)</f>
        <v>3333</v>
      </c>
      <c r="M52" s="46">
        <f>ROUND('Income Statement Assumptions'!$B137/12,0)</f>
        <v>3333</v>
      </c>
      <c r="N52" s="43">
        <f t="shared" si="31"/>
        <v>39996</v>
      </c>
      <c r="O52" s="46">
        <f>ROUND(('Income Statement Assumptions'!$B137*(1+'Income Statement Assumptions'!$F$137))/12,0)</f>
        <v>3347</v>
      </c>
      <c r="P52" s="46">
        <f>ROUND(('Income Statement Assumptions'!$B137*(1+'Income Statement Assumptions'!$F$137))/12,0)</f>
        <v>3347</v>
      </c>
      <c r="Q52" s="46">
        <f>ROUND(('Income Statement Assumptions'!$B137*(1+'Income Statement Assumptions'!$F$137))/12,0)</f>
        <v>3347</v>
      </c>
      <c r="R52" s="46">
        <f>ROUND(('Income Statement Assumptions'!$B137*(1+'Income Statement Assumptions'!$F$137))/12,0)</f>
        <v>3347</v>
      </c>
      <c r="S52" s="46">
        <f>ROUND(('Income Statement Assumptions'!$B137*(1+'Income Statement Assumptions'!$F$137))/12,0)</f>
        <v>3347</v>
      </c>
      <c r="T52" s="46">
        <f>ROUND(('Income Statement Assumptions'!$B137*(1+'Income Statement Assumptions'!$F$137))/12,0)</f>
        <v>3347</v>
      </c>
      <c r="U52" s="46">
        <f>ROUND(('Income Statement Assumptions'!$B137*(1+'Income Statement Assumptions'!$F$137))/12,0)</f>
        <v>3347</v>
      </c>
      <c r="V52" s="46">
        <f>ROUND(('Income Statement Assumptions'!$B137*(1+'Income Statement Assumptions'!$F$137))/12,0)</f>
        <v>3347</v>
      </c>
      <c r="W52" s="46">
        <f>ROUND(('Income Statement Assumptions'!$B137*(1+'Income Statement Assumptions'!$F$137))/12,0)</f>
        <v>3347</v>
      </c>
      <c r="X52" s="46">
        <f>ROUND(('Income Statement Assumptions'!$B137*(1+'Income Statement Assumptions'!$F$137))/12,0)</f>
        <v>3347</v>
      </c>
      <c r="Y52" s="46">
        <f>ROUND(('Income Statement Assumptions'!$B137*(1+'Income Statement Assumptions'!$F$137))/12,0)</f>
        <v>3347</v>
      </c>
      <c r="Z52" s="46">
        <f>ROUND(('Income Statement Assumptions'!$B137*(1+'Income Statement Assumptions'!$F$137))/12,0)</f>
        <v>3347</v>
      </c>
      <c r="AA52" s="46">
        <f t="shared" si="34"/>
        <v>40164</v>
      </c>
      <c r="AB52" s="46">
        <f>ROUND(('Income Statement Assumptions'!$B137*(1+'Income Statement Assumptions'!$D137)*(1+'Income Statement Assumptions'!$G137)/4),0)</f>
        <v>10631</v>
      </c>
      <c r="AC52" s="46">
        <f>ROUND(('Income Statement Assumptions'!$B137*(1+'Income Statement Assumptions'!$D137)*(1+'Income Statement Assumptions'!$G137)/4),0)</f>
        <v>10631</v>
      </c>
      <c r="AD52" s="46">
        <f>ROUND(('Income Statement Assumptions'!$B137*(1+'Income Statement Assumptions'!$D137)*(1+'Income Statement Assumptions'!$G137)/4),0)</f>
        <v>10631</v>
      </c>
      <c r="AE52" s="46">
        <f>ROUND(('Income Statement Assumptions'!$B137*(1+'Income Statement Assumptions'!$D137)*(1+'Income Statement Assumptions'!$G137)/4),0)</f>
        <v>10631</v>
      </c>
      <c r="AF52" s="43">
        <f t="shared" si="32"/>
        <v>42524</v>
      </c>
      <c r="AG52" s="63">
        <f>ROUND(('Income Statement Assumptions'!$B137*(1+'Income Statement Assumptions'!$D137)*(1+'Income Statement Assumptions'!$D137)*(1+'Income Statement Assumptions'!$H137)/4),0)</f>
        <v>11163</v>
      </c>
      <c r="AH52" s="64">
        <f>ROUND(('Income Statement Assumptions'!$B137*(1+'Income Statement Assumptions'!$D137)*(1+'Income Statement Assumptions'!$D137)*(1+'Income Statement Assumptions'!$H137)/4),0)</f>
        <v>11163</v>
      </c>
      <c r="AI52" s="64">
        <f>ROUND(('Income Statement Assumptions'!$B137*(1+'Income Statement Assumptions'!$D137)*(1+'Income Statement Assumptions'!$D137)*(1+'Income Statement Assumptions'!$H137)/4),0)</f>
        <v>11163</v>
      </c>
      <c r="AJ52" s="64">
        <f>ROUND(('Income Statement Assumptions'!$B137*(1+'Income Statement Assumptions'!$D137)*(1+'Income Statement Assumptions'!$D137)*(1+'Income Statement Assumptions'!$H137)/4),0)</f>
        <v>11163</v>
      </c>
      <c r="AK52" s="69">
        <f t="shared" si="33"/>
        <v>44652</v>
      </c>
      <c r="AL52" s="46">
        <f>ROUND(('Income Statement Assumptions'!$B137*(1+'Income Statement Assumptions'!$D137)*(1+'Income Statement Assumptions'!$D137)*(1+'Income Statement Assumptions'!$D137)*(1+'Income Statement Assumptions'!$I137)),0)</f>
        <v>48620</v>
      </c>
    </row>
    <row r="53" spans="1:38" x14ac:dyDescent="0.25">
      <c r="A53" s="1">
        <f>'Income Statement Assumptions'!A138</f>
        <v>0</v>
      </c>
      <c r="B53" s="46">
        <f>ROUND('Income Statement Assumptions'!$B138/12,0)</f>
        <v>0</v>
      </c>
      <c r="C53" s="46">
        <f>ROUND('Income Statement Assumptions'!$B138/12,0)</f>
        <v>0</v>
      </c>
      <c r="D53" s="46">
        <f>ROUND('Income Statement Assumptions'!$B138/12,0)</f>
        <v>0</v>
      </c>
      <c r="E53" s="46">
        <f>ROUND('Income Statement Assumptions'!$B138/12,0)</f>
        <v>0</v>
      </c>
      <c r="F53" s="46">
        <f>ROUND('Income Statement Assumptions'!$B138/12,0)</f>
        <v>0</v>
      </c>
      <c r="G53" s="46">
        <f>ROUND('Income Statement Assumptions'!$B138/12,0)</f>
        <v>0</v>
      </c>
      <c r="H53" s="46">
        <f>ROUND('Income Statement Assumptions'!$B138/12,0)</f>
        <v>0</v>
      </c>
      <c r="I53" s="46">
        <f>ROUND('Income Statement Assumptions'!$B138/12,0)</f>
        <v>0</v>
      </c>
      <c r="J53" s="46">
        <f>ROUND('Income Statement Assumptions'!$B138/12,0)</f>
        <v>0</v>
      </c>
      <c r="K53" s="46">
        <f>ROUND('Income Statement Assumptions'!$B138/12,0)</f>
        <v>0</v>
      </c>
      <c r="L53" s="46">
        <f>ROUND('Income Statement Assumptions'!$B138/12,0)</f>
        <v>0</v>
      </c>
      <c r="M53" s="46">
        <f>ROUND('Income Statement Assumptions'!$B138/12,0)</f>
        <v>0</v>
      </c>
      <c r="N53" s="43">
        <f t="shared" si="31"/>
        <v>0</v>
      </c>
      <c r="O53" s="46">
        <f>ROUND(('Income Statement Assumptions'!$B138*(1+'Income Statement Assumptions'!$F$123))/12,0)</f>
        <v>0</v>
      </c>
      <c r="P53" s="46">
        <f>ROUND(('Income Statement Assumptions'!$B138*(1+'Income Statement Assumptions'!$F$123))/12,0)</f>
        <v>0</v>
      </c>
      <c r="Q53" s="46">
        <f>ROUND(('Income Statement Assumptions'!$B138*(1+'Income Statement Assumptions'!$F$123))/12,0)</f>
        <v>0</v>
      </c>
      <c r="R53" s="46">
        <f>ROUND(('Income Statement Assumptions'!$B138*(1+'Income Statement Assumptions'!$F$123))/12,0)</f>
        <v>0</v>
      </c>
      <c r="S53" s="46">
        <f>ROUND(('Income Statement Assumptions'!$B138*(1+'Income Statement Assumptions'!$F$123))/12,0)</f>
        <v>0</v>
      </c>
      <c r="T53" s="46">
        <f>ROUND(('Income Statement Assumptions'!$B138*(1+'Income Statement Assumptions'!$F$123))/12,0)</f>
        <v>0</v>
      </c>
      <c r="U53" s="46">
        <f>ROUND(('Income Statement Assumptions'!$B138*(1+'Income Statement Assumptions'!$F$123))/12,0)</f>
        <v>0</v>
      </c>
      <c r="V53" s="46">
        <f>ROUND(('Income Statement Assumptions'!$B138*(1+'Income Statement Assumptions'!$F$123))/12,0)</f>
        <v>0</v>
      </c>
      <c r="W53" s="46">
        <f>ROUND(('Income Statement Assumptions'!$B138*(1+'Income Statement Assumptions'!$F$123))/12,0)</f>
        <v>0</v>
      </c>
      <c r="X53" s="46">
        <f>ROUND(('Income Statement Assumptions'!$B138*(1+'Income Statement Assumptions'!$F$123))/12,0)</f>
        <v>0</v>
      </c>
      <c r="Y53" s="46">
        <f>ROUND(('Income Statement Assumptions'!$B138*(1+'Income Statement Assumptions'!$F$123))/12,0)</f>
        <v>0</v>
      </c>
      <c r="Z53" s="46">
        <f>ROUND(('Income Statement Assumptions'!$B138*(1+'Income Statement Assumptions'!$F$123))/12,0)</f>
        <v>0</v>
      </c>
      <c r="AA53" s="46">
        <f t="shared" si="34"/>
        <v>0</v>
      </c>
      <c r="AB53" s="46">
        <f>ROUND(('Income Statement Assumptions'!$B138*(1+'Income Statement Assumptions'!$D138)*(1+'Income Statement Assumptions'!$G138)/4),0)</f>
        <v>0</v>
      </c>
      <c r="AC53" s="46">
        <f>ROUND(('Income Statement Assumptions'!$B138*(1+'Income Statement Assumptions'!$D138)*(1+'Income Statement Assumptions'!$G138)/4),0)</f>
        <v>0</v>
      </c>
      <c r="AD53" s="46">
        <f>ROUND(('Income Statement Assumptions'!$B138*(1+'Income Statement Assumptions'!$D138)*(1+'Income Statement Assumptions'!$G138)/4),0)</f>
        <v>0</v>
      </c>
      <c r="AE53" s="46">
        <f>ROUND(('Income Statement Assumptions'!$B138*(1+'Income Statement Assumptions'!$D138)*(1+'Income Statement Assumptions'!$G138)/4),0)</f>
        <v>0</v>
      </c>
      <c r="AF53" s="43">
        <f t="shared" si="32"/>
        <v>0</v>
      </c>
      <c r="AG53" s="63">
        <f>ROUND(('Income Statement Assumptions'!$B138*(1+'Income Statement Assumptions'!$D138)*(1+'Income Statement Assumptions'!$D138)*(1+'Income Statement Assumptions'!$H138)/4),0)</f>
        <v>0</v>
      </c>
      <c r="AH53" s="64">
        <f>ROUND(('Income Statement Assumptions'!$B138*(1+'Income Statement Assumptions'!$D138)*(1+'Income Statement Assumptions'!$D138)*(1+'Income Statement Assumptions'!$H138)/4),0)</f>
        <v>0</v>
      </c>
      <c r="AI53" s="64">
        <f>ROUND(('Income Statement Assumptions'!$B138*(1+'Income Statement Assumptions'!$D138)*(1+'Income Statement Assumptions'!$D138)*(1+'Income Statement Assumptions'!$H138)/4),0)</f>
        <v>0</v>
      </c>
      <c r="AJ53" s="64">
        <f>ROUND(('Income Statement Assumptions'!$B138*(1+'Income Statement Assumptions'!$D138)*(1+'Income Statement Assumptions'!$D138)*(1+'Income Statement Assumptions'!$H138)/4),0)</f>
        <v>0</v>
      </c>
      <c r="AK53" s="69">
        <f t="shared" si="33"/>
        <v>0</v>
      </c>
      <c r="AL53" s="46">
        <f>ROUND(('Income Statement Assumptions'!$B138*(1+'Income Statement Assumptions'!$D138)*(1+'Income Statement Assumptions'!$D138)*(1+'Income Statement Assumptions'!$D138)*(1+'Income Statement Assumptions'!$I138)),0)</f>
        <v>0</v>
      </c>
    </row>
    <row r="54" spans="1:38" x14ac:dyDescent="0.25">
      <c r="A54" s="1">
        <f>'Income Statement Assumptions'!A139</f>
        <v>0</v>
      </c>
      <c r="B54" s="46">
        <f>ROUND('Income Statement Assumptions'!$B139/12,0)</f>
        <v>0</v>
      </c>
      <c r="C54" s="46">
        <f>ROUND('Income Statement Assumptions'!$B139/12,0)</f>
        <v>0</v>
      </c>
      <c r="D54" s="46">
        <f>ROUND('Income Statement Assumptions'!$B139/12,0)</f>
        <v>0</v>
      </c>
      <c r="E54" s="46">
        <f>ROUND('Income Statement Assumptions'!$B139/12,0)</f>
        <v>0</v>
      </c>
      <c r="F54" s="46">
        <f>ROUND('Income Statement Assumptions'!$B139/12,0)</f>
        <v>0</v>
      </c>
      <c r="G54" s="46">
        <f>ROUND('Income Statement Assumptions'!$B139/12,0)</f>
        <v>0</v>
      </c>
      <c r="H54" s="46">
        <f>ROUND('Income Statement Assumptions'!$B139/12,0)</f>
        <v>0</v>
      </c>
      <c r="I54" s="46">
        <f>ROUND('Income Statement Assumptions'!$B139/12,0)</f>
        <v>0</v>
      </c>
      <c r="J54" s="46">
        <f>ROUND('Income Statement Assumptions'!$B139/12,0)</f>
        <v>0</v>
      </c>
      <c r="K54" s="46">
        <f>ROUND('Income Statement Assumptions'!$B139/12,0)</f>
        <v>0</v>
      </c>
      <c r="L54" s="46">
        <f>ROUND('Income Statement Assumptions'!$B139/12,0)</f>
        <v>0</v>
      </c>
      <c r="M54" s="46">
        <f>ROUND('Income Statement Assumptions'!$B139/12,0)</f>
        <v>0</v>
      </c>
      <c r="N54" s="43">
        <f t="shared" si="31"/>
        <v>0</v>
      </c>
      <c r="O54" s="46">
        <f>ROUND(('Income Statement Assumptions'!$B139*(1+'Income Statement Assumptions'!$F$123))/12,0)</f>
        <v>0</v>
      </c>
      <c r="P54" s="46">
        <f>ROUND(('Income Statement Assumptions'!$B139*(1+'Income Statement Assumptions'!$F$123))/12,0)</f>
        <v>0</v>
      </c>
      <c r="Q54" s="46">
        <f>ROUND(('Income Statement Assumptions'!$B139*(1+'Income Statement Assumptions'!$F$123))/12,0)</f>
        <v>0</v>
      </c>
      <c r="R54" s="46">
        <f>ROUND(('Income Statement Assumptions'!$B139*(1+'Income Statement Assumptions'!$F$123))/12,0)</f>
        <v>0</v>
      </c>
      <c r="S54" s="46">
        <f>ROUND(('Income Statement Assumptions'!$B139*(1+'Income Statement Assumptions'!$F$123))/12,0)</f>
        <v>0</v>
      </c>
      <c r="T54" s="46">
        <f>ROUND(('Income Statement Assumptions'!$B139*(1+'Income Statement Assumptions'!$F$123))/12,0)</f>
        <v>0</v>
      </c>
      <c r="U54" s="46">
        <f>ROUND(('Income Statement Assumptions'!$B139*(1+'Income Statement Assumptions'!$F$123))/12,0)</f>
        <v>0</v>
      </c>
      <c r="V54" s="46">
        <f>ROUND(('Income Statement Assumptions'!$B139*(1+'Income Statement Assumptions'!$F$123))/12,0)</f>
        <v>0</v>
      </c>
      <c r="W54" s="46">
        <f>ROUND(('Income Statement Assumptions'!$B139*(1+'Income Statement Assumptions'!$F$123))/12,0)</f>
        <v>0</v>
      </c>
      <c r="X54" s="46">
        <f>ROUND(('Income Statement Assumptions'!$B139*(1+'Income Statement Assumptions'!$F$123))/12,0)</f>
        <v>0</v>
      </c>
      <c r="Y54" s="46">
        <f>ROUND(('Income Statement Assumptions'!$B139*(1+'Income Statement Assumptions'!$F$123))/12,0)</f>
        <v>0</v>
      </c>
      <c r="Z54" s="46">
        <f>ROUND(('Income Statement Assumptions'!$B139*(1+'Income Statement Assumptions'!$F$123))/12,0)</f>
        <v>0</v>
      </c>
      <c r="AA54" s="46">
        <f t="shared" si="34"/>
        <v>0</v>
      </c>
      <c r="AB54" s="46">
        <f>ROUND(('Income Statement Assumptions'!$B139*(1+'Income Statement Assumptions'!$D139)*(1+'Income Statement Assumptions'!$G139)/4),0)</f>
        <v>0</v>
      </c>
      <c r="AC54" s="46">
        <f>ROUND(('Income Statement Assumptions'!$B139*(1+'Income Statement Assumptions'!$D139)*(1+'Income Statement Assumptions'!$G139)/4),0)</f>
        <v>0</v>
      </c>
      <c r="AD54" s="46">
        <f>ROUND(('Income Statement Assumptions'!$B139*(1+'Income Statement Assumptions'!$D139)*(1+'Income Statement Assumptions'!$G139)/4),0)</f>
        <v>0</v>
      </c>
      <c r="AE54" s="46">
        <f>ROUND(('Income Statement Assumptions'!$B139*(1+'Income Statement Assumptions'!$D139)*(1+'Income Statement Assumptions'!$G139)/4),0)</f>
        <v>0</v>
      </c>
      <c r="AF54" s="43">
        <f t="shared" si="32"/>
        <v>0</v>
      </c>
      <c r="AG54" s="63">
        <f>ROUND(('Income Statement Assumptions'!$B139*(1+'Income Statement Assumptions'!$D139)*(1+'Income Statement Assumptions'!$D139)*(1+'Income Statement Assumptions'!$H139)/4),0)</f>
        <v>0</v>
      </c>
      <c r="AH54" s="64">
        <f>ROUND(('Income Statement Assumptions'!$B139*(1+'Income Statement Assumptions'!$D139)*(1+'Income Statement Assumptions'!$D139)*(1+'Income Statement Assumptions'!$H139)/4),0)</f>
        <v>0</v>
      </c>
      <c r="AI54" s="64">
        <f>ROUND(('Income Statement Assumptions'!$B139*(1+'Income Statement Assumptions'!$D139)*(1+'Income Statement Assumptions'!$D139)*(1+'Income Statement Assumptions'!$H139)/4),0)</f>
        <v>0</v>
      </c>
      <c r="AJ54" s="64">
        <f>ROUND(('Income Statement Assumptions'!$B139*(1+'Income Statement Assumptions'!$D139)*(1+'Income Statement Assumptions'!$D139)*(1+'Income Statement Assumptions'!$H139)/4),0)</f>
        <v>0</v>
      </c>
      <c r="AK54" s="69">
        <f t="shared" si="33"/>
        <v>0</v>
      </c>
      <c r="AL54" s="46">
        <f>ROUND(('Income Statement Assumptions'!$B139*(1+'Income Statement Assumptions'!$D139)*(1+'Income Statement Assumptions'!$D139)*(1+'Income Statement Assumptions'!$D139)*(1+'Income Statement Assumptions'!$I139)),0)</f>
        <v>0</v>
      </c>
    </row>
    <row r="55" spans="1:38" x14ac:dyDescent="0.25">
      <c r="A55" s="1">
        <f>'Income Statement Assumptions'!A140</f>
        <v>0</v>
      </c>
      <c r="B55" s="46">
        <f>ROUND('Income Statement Assumptions'!$B140/12,0)</f>
        <v>0</v>
      </c>
      <c r="C55" s="46">
        <f>ROUND('Income Statement Assumptions'!$B140/12,0)</f>
        <v>0</v>
      </c>
      <c r="D55" s="46">
        <f>ROUND('Income Statement Assumptions'!$B140/12,0)</f>
        <v>0</v>
      </c>
      <c r="E55" s="46">
        <f>ROUND('Income Statement Assumptions'!$B140/12,0)</f>
        <v>0</v>
      </c>
      <c r="F55" s="46">
        <f>ROUND('Income Statement Assumptions'!$B140/12,0)</f>
        <v>0</v>
      </c>
      <c r="G55" s="46">
        <f>ROUND('Income Statement Assumptions'!$B140/12,0)</f>
        <v>0</v>
      </c>
      <c r="H55" s="46">
        <f>ROUND('Income Statement Assumptions'!$B140/12,0)</f>
        <v>0</v>
      </c>
      <c r="I55" s="46">
        <f>ROUND('Income Statement Assumptions'!$B140/12,0)</f>
        <v>0</v>
      </c>
      <c r="J55" s="46">
        <f>ROUND('Income Statement Assumptions'!$B140/12,0)</f>
        <v>0</v>
      </c>
      <c r="K55" s="46">
        <f>ROUND('Income Statement Assumptions'!$B140/12,0)</f>
        <v>0</v>
      </c>
      <c r="L55" s="46">
        <f>ROUND('Income Statement Assumptions'!$B140/12,0)</f>
        <v>0</v>
      </c>
      <c r="M55" s="46">
        <f>ROUND('Income Statement Assumptions'!$B140/12,0)</f>
        <v>0</v>
      </c>
      <c r="N55" s="43">
        <f t="shared" si="31"/>
        <v>0</v>
      </c>
      <c r="O55" s="46">
        <f>ROUND(('Income Statement Assumptions'!$B140*(1+'Income Statement Assumptions'!$F$123))/12,0)</f>
        <v>0</v>
      </c>
      <c r="P55" s="46">
        <f>ROUND(('Income Statement Assumptions'!$B140*(1+'Income Statement Assumptions'!$F$123))/12,0)</f>
        <v>0</v>
      </c>
      <c r="Q55" s="46">
        <f>ROUND(('Income Statement Assumptions'!$B140*(1+'Income Statement Assumptions'!$F$123))/12,0)</f>
        <v>0</v>
      </c>
      <c r="R55" s="46">
        <f>ROUND(('Income Statement Assumptions'!$B140*(1+'Income Statement Assumptions'!$F$123))/12,0)</f>
        <v>0</v>
      </c>
      <c r="S55" s="46">
        <f>ROUND(('Income Statement Assumptions'!$B140*(1+'Income Statement Assumptions'!$F$123))/12,0)</f>
        <v>0</v>
      </c>
      <c r="T55" s="46">
        <f>ROUND(('Income Statement Assumptions'!$B140*(1+'Income Statement Assumptions'!$F$123))/12,0)</f>
        <v>0</v>
      </c>
      <c r="U55" s="46">
        <f>ROUND(('Income Statement Assumptions'!$B140*(1+'Income Statement Assumptions'!$F$123))/12,0)</f>
        <v>0</v>
      </c>
      <c r="V55" s="46">
        <f>ROUND(('Income Statement Assumptions'!$B140*(1+'Income Statement Assumptions'!$F$123))/12,0)</f>
        <v>0</v>
      </c>
      <c r="W55" s="46">
        <f>ROUND(('Income Statement Assumptions'!$B140*(1+'Income Statement Assumptions'!$F$123))/12,0)</f>
        <v>0</v>
      </c>
      <c r="X55" s="46">
        <f>ROUND(('Income Statement Assumptions'!$B140*(1+'Income Statement Assumptions'!$F$123))/12,0)</f>
        <v>0</v>
      </c>
      <c r="Y55" s="46">
        <f>ROUND(('Income Statement Assumptions'!$B140*(1+'Income Statement Assumptions'!$F$123))/12,0)</f>
        <v>0</v>
      </c>
      <c r="Z55" s="46">
        <f>ROUND(('Income Statement Assumptions'!$B140*(1+'Income Statement Assumptions'!$F$123))/12,0)</f>
        <v>0</v>
      </c>
      <c r="AA55" s="46">
        <f t="shared" si="34"/>
        <v>0</v>
      </c>
      <c r="AB55" s="46">
        <f>ROUND(('Income Statement Assumptions'!$B140*(1+'Income Statement Assumptions'!$D140)*(1+'Income Statement Assumptions'!$G140)/4),0)</f>
        <v>0</v>
      </c>
      <c r="AC55" s="46">
        <f>ROUND(('Income Statement Assumptions'!$B140*(1+'Income Statement Assumptions'!$D140)*(1+'Income Statement Assumptions'!$G140)/4),0)</f>
        <v>0</v>
      </c>
      <c r="AD55" s="46">
        <f>ROUND(('Income Statement Assumptions'!$B140*(1+'Income Statement Assumptions'!$D140)*(1+'Income Statement Assumptions'!$G140)/4),0)</f>
        <v>0</v>
      </c>
      <c r="AE55" s="46">
        <f>ROUND(('Income Statement Assumptions'!$B140*(1+'Income Statement Assumptions'!$D140)*(1+'Income Statement Assumptions'!$G140)/4),0)</f>
        <v>0</v>
      </c>
      <c r="AF55" s="43">
        <f t="shared" si="32"/>
        <v>0</v>
      </c>
      <c r="AG55" s="63">
        <f>ROUND(('Income Statement Assumptions'!$B140*(1+'Income Statement Assumptions'!$D140)*(1+'Income Statement Assumptions'!$D140)*(1+'Income Statement Assumptions'!$H140)/4),0)</f>
        <v>0</v>
      </c>
      <c r="AH55" s="64">
        <f>ROUND(('Income Statement Assumptions'!$B140*(1+'Income Statement Assumptions'!$D140)*(1+'Income Statement Assumptions'!$D140)*(1+'Income Statement Assumptions'!$H140)/4),0)</f>
        <v>0</v>
      </c>
      <c r="AI55" s="64">
        <f>ROUND(('Income Statement Assumptions'!$B140*(1+'Income Statement Assumptions'!$D140)*(1+'Income Statement Assumptions'!$D140)*(1+'Income Statement Assumptions'!$H140)/4),0)</f>
        <v>0</v>
      </c>
      <c r="AJ55" s="64">
        <f>ROUND(('Income Statement Assumptions'!$B140*(1+'Income Statement Assumptions'!$D140)*(1+'Income Statement Assumptions'!$D140)*(1+'Income Statement Assumptions'!$H140)/4),0)</f>
        <v>0</v>
      </c>
      <c r="AK55" s="69">
        <f t="shared" si="33"/>
        <v>0</v>
      </c>
      <c r="AL55" s="46">
        <f>ROUND(('Income Statement Assumptions'!$B140*(1+'Income Statement Assumptions'!$D140)*(1+'Income Statement Assumptions'!$D140)*(1+'Income Statement Assumptions'!$D140)*(1+'Income Statement Assumptions'!$I140)),0)</f>
        <v>0</v>
      </c>
    </row>
    <row r="56" spans="1:38" x14ac:dyDescent="0.25">
      <c r="A56" s="1">
        <f>'Income Statement Assumptions'!A141</f>
        <v>0</v>
      </c>
      <c r="B56" s="46">
        <f>ROUND('Income Statement Assumptions'!$B141/12,0)</f>
        <v>0</v>
      </c>
      <c r="C56" s="46">
        <f>ROUND('Income Statement Assumptions'!$B141/12,0)</f>
        <v>0</v>
      </c>
      <c r="D56" s="46">
        <f>ROUND('Income Statement Assumptions'!$B141/12,0)</f>
        <v>0</v>
      </c>
      <c r="E56" s="46">
        <f>ROUND('Income Statement Assumptions'!$B141/12,0)</f>
        <v>0</v>
      </c>
      <c r="F56" s="46">
        <f>ROUND('Income Statement Assumptions'!$B141/12,0)</f>
        <v>0</v>
      </c>
      <c r="G56" s="46">
        <f>ROUND('Income Statement Assumptions'!$B141/12,0)</f>
        <v>0</v>
      </c>
      <c r="H56" s="46">
        <f>ROUND('Income Statement Assumptions'!$B141/12,0)</f>
        <v>0</v>
      </c>
      <c r="I56" s="46">
        <f>ROUND('Income Statement Assumptions'!$B141/12,0)</f>
        <v>0</v>
      </c>
      <c r="J56" s="46">
        <f>ROUND('Income Statement Assumptions'!$B141/12,0)</f>
        <v>0</v>
      </c>
      <c r="K56" s="46">
        <f>ROUND('Income Statement Assumptions'!$B141/12,0)</f>
        <v>0</v>
      </c>
      <c r="L56" s="46">
        <f>ROUND('Income Statement Assumptions'!$B141/12,0)</f>
        <v>0</v>
      </c>
      <c r="M56" s="46">
        <f>ROUND('Income Statement Assumptions'!$B141/12,0)</f>
        <v>0</v>
      </c>
      <c r="N56" s="43">
        <f t="shared" si="31"/>
        <v>0</v>
      </c>
      <c r="O56" s="46">
        <f>ROUND(('Income Statement Assumptions'!$B141*(1+'Income Statement Assumptions'!$F$123))/12,0)</f>
        <v>0</v>
      </c>
      <c r="P56" s="46">
        <f>ROUND(('Income Statement Assumptions'!$B141*(1+'Income Statement Assumptions'!$F$123))/12,0)</f>
        <v>0</v>
      </c>
      <c r="Q56" s="46">
        <f>ROUND(('Income Statement Assumptions'!$B141*(1+'Income Statement Assumptions'!$F$123))/12,0)</f>
        <v>0</v>
      </c>
      <c r="R56" s="46">
        <f>ROUND(('Income Statement Assumptions'!$B141*(1+'Income Statement Assumptions'!$F$123))/12,0)</f>
        <v>0</v>
      </c>
      <c r="S56" s="46">
        <f>ROUND(('Income Statement Assumptions'!$B141*(1+'Income Statement Assumptions'!$F$123))/12,0)</f>
        <v>0</v>
      </c>
      <c r="T56" s="46">
        <f>ROUND(('Income Statement Assumptions'!$B141*(1+'Income Statement Assumptions'!$F$123))/12,0)</f>
        <v>0</v>
      </c>
      <c r="U56" s="46">
        <f>ROUND(('Income Statement Assumptions'!$B141*(1+'Income Statement Assumptions'!$F$123))/12,0)</f>
        <v>0</v>
      </c>
      <c r="V56" s="46">
        <f>ROUND(('Income Statement Assumptions'!$B141*(1+'Income Statement Assumptions'!$F$123))/12,0)</f>
        <v>0</v>
      </c>
      <c r="W56" s="46">
        <f>ROUND(('Income Statement Assumptions'!$B141*(1+'Income Statement Assumptions'!$F$123))/12,0)</f>
        <v>0</v>
      </c>
      <c r="X56" s="46">
        <f>ROUND(('Income Statement Assumptions'!$B141*(1+'Income Statement Assumptions'!$F$123))/12,0)</f>
        <v>0</v>
      </c>
      <c r="Y56" s="46">
        <f>ROUND(('Income Statement Assumptions'!$B141*(1+'Income Statement Assumptions'!$F$123))/12,0)</f>
        <v>0</v>
      </c>
      <c r="Z56" s="46">
        <f>ROUND(('Income Statement Assumptions'!$B141*(1+'Income Statement Assumptions'!$F$123))/12,0)</f>
        <v>0</v>
      </c>
      <c r="AA56" s="46">
        <f t="shared" si="34"/>
        <v>0</v>
      </c>
      <c r="AB56" s="46">
        <f>ROUND(('Income Statement Assumptions'!$B141*(1+'Income Statement Assumptions'!$D141)*(1+'Income Statement Assumptions'!$G141)/4),0)</f>
        <v>0</v>
      </c>
      <c r="AC56" s="46">
        <f>ROUND(('Income Statement Assumptions'!$B141*(1+'Income Statement Assumptions'!$D141)*(1+'Income Statement Assumptions'!$G141)/4),0)</f>
        <v>0</v>
      </c>
      <c r="AD56" s="46">
        <f>ROUND(('Income Statement Assumptions'!$B141*(1+'Income Statement Assumptions'!$D141)*(1+'Income Statement Assumptions'!$G141)/4),0)</f>
        <v>0</v>
      </c>
      <c r="AE56" s="46">
        <f>ROUND(('Income Statement Assumptions'!$B141*(1+'Income Statement Assumptions'!$D141)*(1+'Income Statement Assumptions'!$G141)/4),0)</f>
        <v>0</v>
      </c>
      <c r="AF56" s="43">
        <f t="shared" si="32"/>
        <v>0</v>
      </c>
      <c r="AG56" s="63">
        <f>ROUND(('Income Statement Assumptions'!$B141*(1+'Income Statement Assumptions'!$D141)*(1+'Income Statement Assumptions'!$D141)*(1+'Income Statement Assumptions'!$H141)/4),0)</f>
        <v>0</v>
      </c>
      <c r="AH56" s="64">
        <f>ROUND(('Income Statement Assumptions'!$B141*(1+'Income Statement Assumptions'!$D141)*(1+'Income Statement Assumptions'!$D141)*(1+'Income Statement Assumptions'!$H141)/4),0)</f>
        <v>0</v>
      </c>
      <c r="AI56" s="64">
        <f>ROUND(('Income Statement Assumptions'!$B141*(1+'Income Statement Assumptions'!$D141)*(1+'Income Statement Assumptions'!$D141)*(1+'Income Statement Assumptions'!$H141)/4),0)</f>
        <v>0</v>
      </c>
      <c r="AJ56" s="64">
        <f>ROUND(('Income Statement Assumptions'!$B141*(1+'Income Statement Assumptions'!$D141)*(1+'Income Statement Assumptions'!$D141)*(1+'Income Statement Assumptions'!$H141)/4),0)</f>
        <v>0</v>
      </c>
      <c r="AK56" s="69">
        <f t="shared" si="33"/>
        <v>0</v>
      </c>
      <c r="AL56" s="46">
        <f>ROUND(('Income Statement Assumptions'!$B141*(1+'Income Statement Assumptions'!$D141)*(1+'Income Statement Assumptions'!$D141)*(1+'Income Statement Assumptions'!$D141)*(1+'Income Statement Assumptions'!$I141)),0)</f>
        <v>0</v>
      </c>
    </row>
    <row r="57" spans="1:38" x14ac:dyDescent="0.25">
      <c r="A57" s="1">
        <f>'Income Statement Assumptions'!A142</f>
        <v>0</v>
      </c>
      <c r="B57" s="46">
        <f>ROUND('Income Statement Assumptions'!$B142/12,0)</f>
        <v>0</v>
      </c>
      <c r="C57" s="46">
        <f>ROUND('Income Statement Assumptions'!$B142/12,0)</f>
        <v>0</v>
      </c>
      <c r="D57" s="46">
        <f>ROUND('Income Statement Assumptions'!$B142/12,0)</f>
        <v>0</v>
      </c>
      <c r="E57" s="46">
        <f>ROUND('Income Statement Assumptions'!$B142/12,0)</f>
        <v>0</v>
      </c>
      <c r="F57" s="46">
        <f>ROUND('Income Statement Assumptions'!$B142/12,0)</f>
        <v>0</v>
      </c>
      <c r="G57" s="46">
        <f>ROUND('Income Statement Assumptions'!$B142/12,0)</f>
        <v>0</v>
      </c>
      <c r="H57" s="46">
        <f>ROUND('Income Statement Assumptions'!$B142/12,0)</f>
        <v>0</v>
      </c>
      <c r="I57" s="46">
        <f>ROUND('Income Statement Assumptions'!$B142/12,0)</f>
        <v>0</v>
      </c>
      <c r="J57" s="46">
        <f>ROUND('Income Statement Assumptions'!$B142/12,0)</f>
        <v>0</v>
      </c>
      <c r="K57" s="46">
        <f>ROUND('Income Statement Assumptions'!$B142/12,0)</f>
        <v>0</v>
      </c>
      <c r="L57" s="46">
        <f>ROUND('Income Statement Assumptions'!$B142/12,0)</f>
        <v>0</v>
      </c>
      <c r="M57" s="46">
        <f>ROUND('Income Statement Assumptions'!$B142/12,0)</f>
        <v>0</v>
      </c>
      <c r="N57" s="43">
        <f t="shared" si="31"/>
        <v>0</v>
      </c>
      <c r="O57" s="46">
        <f>ROUND(('Income Statement Assumptions'!$B142*(1+'Income Statement Assumptions'!$F$123))/12,0)</f>
        <v>0</v>
      </c>
      <c r="P57" s="46">
        <f>ROUND(('Income Statement Assumptions'!$B142*(1+'Income Statement Assumptions'!$F$123))/12,0)</f>
        <v>0</v>
      </c>
      <c r="Q57" s="46">
        <f>ROUND(('Income Statement Assumptions'!$B142*(1+'Income Statement Assumptions'!$F$123))/12,0)</f>
        <v>0</v>
      </c>
      <c r="R57" s="46">
        <f>ROUND(('Income Statement Assumptions'!$B142*(1+'Income Statement Assumptions'!$F$123))/12,0)</f>
        <v>0</v>
      </c>
      <c r="S57" s="46">
        <f>ROUND(('Income Statement Assumptions'!$B142*(1+'Income Statement Assumptions'!$F$123))/12,0)</f>
        <v>0</v>
      </c>
      <c r="T57" s="46">
        <f>ROUND(('Income Statement Assumptions'!$B142*(1+'Income Statement Assumptions'!$F$123))/12,0)</f>
        <v>0</v>
      </c>
      <c r="U57" s="46">
        <f>ROUND(('Income Statement Assumptions'!$B142*(1+'Income Statement Assumptions'!$F$123))/12,0)</f>
        <v>0</v>
      </c>
      <c r="V57" s="46">
        <f>ROUND(('Income Statement Assumptions'!$B142*(1+'Income Statement Assumptions'!$F$123))/12,0)</f>
        <v>0</v>
      </c>
      <c r="W57" s="46">
        <f>ROUND(('Income Statement Assumptions'!$B142*(1+'Income Statement Assumptions'!$F$123))/12,0)</f>
        <v>0</v>
      </c>
      <c r="X57" s="46">
        <f>ROUND(('Income Statement Assumptions'!$B142*(1+'Income Statement Assumptions'!$F$123))/12,0)</f>
        <v>0</v>
      </c>
      <c r="Y57" s="46">
        <f>ROUND(('Income Statement Assumptions'!$B142*(1+'Income Statement Assumptions'!$F$123))/12,0)</f>
        <v>0</v>
      </c>
      <c r="Z57" s="46">
        <f>ROUND(('Income Statement Assumptions'!$B142*(1+'Income Statement Assumptions'!$F$123))/12,0)</f>
        <v>0</v>
      </c>
      <c r="AA57" s="46">
        <f t="shared" si="34"/>
        <v>0</v>
      </c>
      <c r="AB57" s="46">
        <f>ROUND(('Income Statement Assumptions'!$B142*(1+'Income Statement Assumptions'!$D142)*(1+'Income Statement Assumptions'!$G142)/4),0)</f>
        <v>0</v>
      </c>
      <c r="AC57" s="46">
        <f>ROUND(('Income Statement Assumptions'!$B142*(1+'Income Statement Assumptions'!$D142)*(1+'Income Statement Assumptions'!$G142)/4),0)</f>
        <v>0</v>
      </c>
      <c r="AD57" s="46">
        <f>ROUND(('Income Statement Assumptions'!$B142*(1+'Income Statement Assumptions'!$D142)*(1+'Income Statement Assumptions'!$G142)/4),0)</f>
        <v>0</v>
      </c>
      <c r="AE57" s="46">
        <f>ROUND(('Income Statement Assumptions'!$B142*(1+'Income Statement Assumptions'!$D142)*(1+'Income Statement Assumptions'!$G142)/4),0)</f>
        <v>0</v>
      </c>
      <c r="AF57" s="43">
        <f t="shared" si="32"/>
        <v>0</v>
      </c>
      <c r="AG57" s="63">
        <f>ROUND(('Income Statement Assumptions'!$B142*(1+'Income Statement Assumptions'!$D142)*(1+'Income Statement Assumptions'!$D142)*(1+'Income Statement Assumptions'!$H142)/4),0)</f>
        <v>0</v>
      </c>
      <c r="AH57" s="64">
        <f>ROUND(('Income Statement Assumptions'!$B142*(1+'Income Statement Assumptions'!$D142)*(1+'Income Statement Assumptions'!$D142)*(1+'Income Statement Assumptions'!$H142)/4),0)</f>
        <v>0</v>
      </c>
      <c r="AI57" s="64">
        <f>ROUND(('Income Statement Assumptions'!$B142*(1+'Income Statement Assumptions'!$D142)*(1+'Income Statement Assumptions'!$D142)*(1+'Income Statement Assumptions'!$H142)/4),0)</f>
        <v>0</v>
      </c>
      <c r="AJ57" s="64">
        <f>ROUND(('Income Statement Assumptions'!$B142*(1+'Income Statement Assumptions'!$D142)*(1+'Income Statement Assumptions'!$D142)*(1+'Income Statement Assumptions'!$H142)/4),0)</f>
        <v>0</v>
      </c>
      <c r="AK57" s="69">
        <f t="shared" si="33"/>
        <v>0</v>
      </c>
      <c r="AL57" s="46">
        <f>ROUND(('Income Statement Assumptions'!$B142*(1+'Income Statement Assumptions'!$D142)*(1+'Income Statement Assumptions'!$D142)*(1+'Income Statement Assumptions'!$D142)*(1+'Income Statement Assumptions'!$I142)),0)</f>
        <v>0</v>
      </c>
    </row>
    <row r="58" spans="1:38" x14ac:dyDescent="0.25">
      <c r="A58" s="1">
        <f>'Income Statement Assumptions'!A143</f>
        <v>0</v>
      </c>
      <c r="B58" s="46">
        <f>ROUND('Income Statement Assumptions'!$B143/12,0)</f>
        <v>0</v>
      </c>
      <c r="C58" s="46">
        <f>ROUND('Income Statement Assumptions'!$B143/12,0)</f>
        <v>0</v>
      </c>
      <c r="D58" s="46">
        <f>ROUND('Income Statement Assumptions'!$B143/12,0)</f>
        <v>0</v>
      </c>
      <c r="E58" s="46">
        <f>ROUND('Income Statement Assumptions'!$B143/12,0)</f>
        <v>0</v>
      </c>
      <c r="F58" s="46">
        <f>ROUND('Income Statement Assumptions'!$B143/12,0)</f>
        <v>0</v>
      </c>
      <c r="G58" s="46">
        <f>ROUND('Income Statement Assumptions'!$B143/12,0)</f>
        <v>0</v>
      </c>
      <c r="H58" s="46">
        <f>ROUND('Income Statement Assumptions'!$B143/12,0)</f>
        <v>0</v>
      </c>
      <c r="I58" s="46">
        <f>ROUND('Income Statement Assumptions'!$B143/12,0)</f>
        <v>0</v>
      </c>
      <c r="J58" s="46">
        <f>ROUND('Income Statement Assumptions'!$B143/12,0)</f>
        <v>0</v>
      </c>
      <c r="K58" s="46">
        <f>ROUND('Income Statement Assumptions'!$B143/12,0)</f>
        <v>0</v>
      </c>
      <c r="L58" s="46">
        <f>ROUND('Income Statement Assumptions'!$B143/12,0)</f>
        <v>0</v>
      </c>
      <c r="M58" s="46">
        <f>ROUND('Income Statement Assumptions'!$B143/12,0)</f>
        <v>0</v>
      </c>
      <c r="N58" s="43">
        <f t="shared" si="31"/>
        <v>0</v>
      </c>
      <c r="O58" s="46">
        <f>ROUND(('Income Statement Assumptions'!$B143*(1+'Income Statement Assumptions'!$F$123))/12,0)</f>
        <v>0</v>
      </c>
      <c r="P58" s="46">
        <f>ROUND(('Income Statement Assumptions'!$B143*(1+'Income Statement Assumptions'!$F$123))/12,0)</f>
        <v>0</v>
      </c>
      <c r="Q58" s="46">
        <f>ROUND(('Income Statement Assumptions'!$B143*(1+'Income Statement Assumptions'!$F$123))/12,0)</f>
        <v>0</v>
      </c>
      <c r="R58" s="46">
        <f>ROUND(('Income Statement Assumptions'!$B143*(1+'Income Statement Assumptions'!$F$123))/12,0)</f>
        <v>0</v>
      </c>
      <c r="S58" s="46">
        <f>ROUND(('Income Statement Assumptions'!$B143*(1+'Income Statement Assumptions'!$F$123))/12,0)</f>
        <v>0</v>
      </c>
      <c r="T58" s="46">
        <f>ROUND(('Income Statement Assumptions'!$B143*(1+'Income Statement Assumptions'!$F$123))/12,0)</f>
        <v>0</v>
      </c>
      <c r="U58" s="46">
        <f>ROUND(('Income Statement Assumptions'!$B143*(1+'Income Statement Assumptions'!$F$123))/12,0)</f>
        <v>0</v>
      </c>
      <c r="V58" s="46">
        <f>ROUND(('Income Statement Assumptions'!$B143*(1+'Income Statement Assumptions'!$F$123))/12,0)</f>
        <v>0</v>
      </c>
      <c r="W58" s="46">
        <f>ROUND(('Income Statement Assumptions'!$B143*(1+'Income Statement Assumptions'!$F$123))/12,0)</f>
        <v>0</v>
      </c>
      <c r="X58" s="46">
        <f>ROUND(('Income Statement Assumptions'!$B143*(1+'Income Statement Assumptions'!$F$123))/12,0)</f>
        <v>0</v>
      </c>
      <c r="Y58" s="46">
        <f>ROUND(('Income Statement Assumptions'!$B143*(1+'Income Statement Assumptions'!$F$123))/12,0)</f>
        <v>0</v>
      </c>
      <c r="Z58" s="46">
        <f>ROUND(('Income Statement Assumptions'!$B143*(1+'Income Statement Assumptions'!$F$123))/12,0)</f>
        <v>0</v>
      </c>
      <c r="AA58" s="46">
        <f t="shared" si="34"/>
        <v>0</v>
      </c>
      <c r="AB58" s="46">
        <f>ROUND(('Income Statement Assumptions'!$B143*(1+'Income Statement Assumptions'!$D143)*(1+'Income Statement Assumptions'!$G143)/4),0)</f>
        <v>0</v>
      </c>
      <c r="AC58" s="46">
        <f>ROUND(('Income Statement Assumptions'!$B143*(1+'Income Statement Assumptions'!$D143)*(1+'Income Statement Assumptions'!$G143)/4),0)</f>
        <v>0</v>
      </c>
      <c r="AD58" s="46">
        <f>ROUND(('Income Statement Assumptions'!$B143*(1+'Income Statement Assumptions'!$D143)*(1+'Income Statement Assumptions'!$G143)/4),0)</f>
        <v>0</v>
      </c>
      <c r="AE58" s="46">
        <f>ROUND(('Income Statement Assumptions'!$B143*(1+'Income Statement Assumptions'!$D143)*(1+'Income Statement Assumptions'!$G143)/4),0)</f>
        <v>0</v>
      </c>
      <c r="AF58" s="43">
        <f t="shared" si="32"/>
        <v>0</v>
      </c>
      <c r="AG58" s="63">
        <f>ROUND(('Income Statement Assumptions'!$B143*(1+'Income Statement Assumptions'!$D143)*(1+'Income Statement Assumptions'!$D143)*(1+'Income Statement Assumptions'!$H143)/4),0)</f>
        <v>0</v>
      </c>
      <c r="AH58" s="64">
        <f>ROUND(('Income Statement Assumptions'!$B143*(1+'Income Statement Assumptions'!$D143)*(1+'Income Statement Assumptions'!$D143)*(1+'Income Statement Assumptions'!$H143)/4),0)</f>
        <v>0</v>
      </c>
      <c r="AI58" s="64">
        <f>ROUND(('Income Statement Assumptions'!$B143*(1+'Income Statement Assumptions'!$D143)*(1+'Income Statement Assumptions'!$D143)*(1+'Income Statement Assumptions'!$H143)/4),0)</f>
        <v>0</v>
      </c>
      <c r="AJ58" s="64">
        <f>ROUND(('Income Statement Assumptions'!$B143*(1+'Income Statement Assumptions'!$D143)*(1+'Income Statement Assumptions'!$D143)*(1+'Income Statement Assumptions'!$H143)/4),0)</f>
        <v>0</v>
      </c>
      <c r="AK58" s="69">
        <f t="shared" si="33"/>
        <v>0</v>
      </c>
      <c r="AL58" s="46">
        <f>ROUND(('Income Statement Assumptions'!$B143*(1+'Income Statement Assumptions'!$D143)*(1+'Income Statement Assumptions'!$D143)*(1+'Income Statement Assumptions'!$D143)*(1+'Income Statement Assumptions'!$I143)),0)</f>
        <v>0</v>
      </c>
    </row>
    <row r="59" spans="1:38" x14ac:dyDescent="0.25">
      <c r="A59" s="1">
        <f>'Income Statement Assumptions'!A144</f>
        <v>0</v>
      </c>
      <c r="B59" s="47">
        <f>ROUND('Income Statement Assumptions'!$B144/12,0)</f>
        <v>0</v>
      </c>
      <c r="C59" s="47">
        <f>ROUND('Income Statement Assumptions'!$B144/12,0)</f>
        <v>0</v>
      </c>
      <c r="D59" s="47">
        <f>ROUND('Income Statement Assumptions'!$B144/12,0)</f>
        <v>0</v>
      </c>
      <c r="E59" s="47">
        <f>ROUND('Income Statement Assumptions'!$B144/12,0)</f>
        <v>0</v>
      </c>
      <c r="F59" s="47">
        <f>ROUND('Income Statement Assumptions'!$B144/12,0)</f>
        <v>0</v>
      </c>
      <c r="G59" s="47">
        <f>ROUND('Income Statement Assumptions'!$B144/12,0)</f>
        <v>0</v>
      </c>
      <c r="H59" s="47">
        <f>ROUND('Income Statement Assumptions'!$B144/12,0)</f>
        <v>0</v>
      </c>
      <c r="I59" s="47">
        <f>ROUND('Income Statement Assumptions'!$B144/12,0)</f>
        <v>0</v>
      </c>
      <c r="J59" s="47">
        <f>ROUND('Income Statement Assumptions'!$B144/12,0)</f>
        <v>0</v>
      </c>
      <c r="K59" s="47">
        <f>ROUND('Income Statement Assumptions'!$B144/12,0)</f>
        <v>0</v>
      </c>
      <c r="L59" s="47">
        <f>ROUND('Income Statement Assumptions'!$B144/12,0)</f>
        <v>0</v>
      </c>
      <c r="M59" s="47">
        <f>ROUND('Income Statement Assumptions'!$B144/12,0)</f>
        <v>0</v>
      </c>
      <c r="N59" s="44">
        <f t="shared" si="31"/>
        <v>0</v>
      </c>
      <c r="O59" s="47">
        <f>ROUND(('Income Statement Assumptions'!$B144*(1+'Income Statement Assumptions'!$F$123))/12,0)</f>
        <v>0</v>
      </c>
      <c r="P59" s="47">
        <f>ROUND(('Income Statement Assumptions'!$B144*(1+'Income Statement Assumptions'!$F$123))/12,0)</f>
        <v>0</v>
      </c>
      <c r="Q59" s="47">
        <f>ROUND(('Income Statement Assumptions'!$B144*(1+'Income Statement Assumptions'!$F$123))/12,0)</f>
        <v>0</v>
      </c>
      <c r="R59" s="47">
        <f>ROUND(('Income Statement Assumptions'!$B144*(1+'Income Statement Assumptions'!$F$123))/12,0)</f>
        <v>0</v>
      </c>
      <c r="S59" s="47">
        <f>ROUND(('Income Statement Assumptions'!$B144*(1+'Income Statement Assumptions'!$F$123))/12,0)</f>
        <v>0</v>
      </c>
      <c r="T59" s="47">
        <f>ROUND(('Income Statement Assumptions'!$B144*(1+'Income Statement Assumptions'!$F$123))/12,0)</f>
        <v>0</v>
      </c>
      <c r="U59" s="47">
        <f>ROUND(('Income Statement Assumptions'!$B144*(1+'Income Statement Assumptions'!$F$123))/12,0)</f>
        <v>0</v>
      </c>
      <c r="V59" s="47">
        <f>ROUND(('Income Statement Assumptions'!$B144*(1+'Income Statement Assumptions'!$F$123))/12,0)</f>
        <v>0</v>
      </c>
      <c r="W59" s="47">
        <f>ROUND(('Income Statement Assumptions'!$B144*(1+'Income Statement Assumptions'!$F$123))/12,0)</f>
        <v>0</v>
      </c>
      <c r="X59" s="47">
        <f>ROUND(('Income Statement Assumptions'!$B144*(1+'Income Statement Assumptions'!$F$123))/12,0)</f>
        <v>0</v>
      </c>
      <c r="Y59" s="47">
        <f>ROUND(('Income Statement Assumptions'!$B144*(1+'Income Statement Assumptions'!$F$123))/12,0)</f>
        <v>0</v>
      </c>
      <c r="Z59" s="47">
        <f>ROUND(('Income Statement Assumptions'!$B144*(1+'Income Statement Assumptions'!$F$123))/12,0)</f>
        <v>0</v>
      </c>
      <c r="AA59" s="47">
        <f t="shared" si="34"/>
        <v>0</v>
      </c>
      <c r="AB59" s="47">
        <f>ROUND(('Income Statement Assumptions'!$B144*(1+'Income Statement Assumptions'!$D144)*(1+'Income Statement Assumptions'!$G144)/4),0)</f>
        <v>0</v>
      </c>
      <c r="AC59" s="47">
        <f>ROUND(('Income Statement Assumptions'!$B144*(1+'Income Statement Assumptions'!$D144)*(1+'Income Statement Assumptions'!$G144)/4),0)</f>
        <v>0</v>
      </c>
      <c r="AD59" s="47">
        <f>ROUND(('Income Statement Assumptions'!$B144*(1+'Income Statement Assumptions'!$D144)*(1+'Income Statement Assumptions'!$G144)/4),0)</f>
        <v>0</v>
      </c>
      <c r="AE59" s="47">
        <f>ROUND(('Income Statement Assumptions'!$B144*(1+'Income Statement Assumptions'!$D144)*(1+'Income Statement Assumptions'!$G144)/4),0)</f>
        <v>0</v>
      </c>
      <c r="AF59" s="44">
        <f t="shared" si="32"/>
        <v>0</v>
      </c>
      <c r="AG59" s="65">
        <f>ROUND(('Income Statement Assumptions'!$B144*(1+'Income Statement Assumptions'!$D144)*(1+'Income Statement Assumptions'!$D144)*(1+'Income Statement Assumptions'!$H144)/4),0)</f>
        <v>0</v>
      </c>
      <c r="AH59" s="47">
        <f>ROUND(('Income Statement Assumptions'!$B144*(1+'Income Statement Assumptions'!$D144)*(1+'Income Statement Assumptions'!$D144)*(1+'Income Statement Assumptions'!$H144)/4),0)</f>
        <v>0</v>
      </c>
      <c r="AI59" s="47">
        <f>ROUND(('Income Statement Assumptions'!$B144*(1+'Income Statement Assumptions'!$D144)*(1+'Income Statement Assumptions'!$D144)*(1+'Income Statement Assumptions'!$H144)/4),0)</f>
        <v>0</v>
      </c>
      <c r="AJ59" s="47">
        <f>ROUND(('Income Statement Assumptions'!$B144*(1+'Income Statement Assumptions'!$D144)*(1+'Income Statement Assumptions'!$D144)*(1+'Income Statement Assumptions'!$H144)/4),0)</f>
        <v>0</v>
      </c>
      <c r="AK59" s="70">
        <f t="shared" si="33"/>
        <v>0</v>
      </c>
      <c r="AL59" s="47">
        <f>ROUND(('Income Statement Assumptions'!$B144*(1+'Income Statement Assumptions'!$D144)*(1+'Income Statement Assumptions'!$D144)*(1+'Income Statement Assumptions'!$D144)*(1+'Income Statement Assumptions'!$I144)),0)</f>
        <v>0</v>
      </c>
    </row>
    <row r="60" spans="1:38" x14ac:dyDescent="0.25">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c r="AB60" s="43"/>
      <c r="AC60" s="43"/>
      <c r="AD60" s="43"/>
      <c r="AE60" s="43"/>
      <c r="AF60" s="43"/>
      <c r="AG60" s="55"/>
      <c r="AH60" s="43"/>
      <c r="AI60" s="43"/>
      <c r="AJ60" s="43"/>
      <c r="AK60" s="69"/>
      <c r="AL60" s="43"/>
    </row>
    <row r="61" spans="1:38" s="48" customFormat="1" x14ac:dyDescent="0.25">
      <c r="A61" s="48" t="s">
        <v>121</v>
      </c>
      <c r="B61" s="51">
        <f>SUM(B36:B59)</f>
        <v>163442</v>
      </c>
      <c r="C61" s="51">
        <f t="shared" ref="C61:AF61" si="35">SUM(C36:C59)</f>
        <v>38442</v>
      </c>
      <c r="D61" s="51">
        <f t="shared" si="35"/>
        <v>38442</v>
      </c>
      <c r="E61" s="51">
        <f t="shared" si="35"/>
        <v>38442</v>
      </c>
      <c r="F61" s="51">
        <f t="shared" si="35"/>
        <v>38442</v>
      </c>
      <c r="G61" s="51">
        <f t="shared" si="35"/>
        <v>38442</v>
      </c>
      <c r="H61" s="51">
        <f t="shared" si="35"/>
        <v>38442</v>
      </c>
      <c r="I61" s="51">
        <f t="shared" si="35"/>
        <v>41775</v>
      </c>
      <c r="J61" s="51">
        <f t="shared" si="35"/>
        <v>41775</v>
      </c>
      <c r="K61" s="51">
        <f t="shared" si="35"/>
        <v>41775</v>
      </c>
      <c r="L61" s="51">
        <f t="shared" si="35"/>
        <v>41775</v>
      </c>
      <c r="M61" s="51">
        <f t="shared" si="35"/>
        <v>41775</v>
      </c>
      <c r="N61" s="51">
        <f t="shared" si="35"/>
        <v>602969</v>
      </c>
      <c r="O61" s="51">
        <f t="shared" si="35"/>
        <v>46319</v>
      </c>
      <c r="P61" s="51">
        <f t="shared" si="35"/>
        <v>46319</v>
      </c>
      <c r="Q61" s="51">
        <f t="shared" si="35"/>
        <v>46319</v>
      </c>
      <c r="R61" s="51">
        <f t="shared" si="35"/>
        <v>46319</v>
      </c>
      <c r="S61" s="51">
        <f t="shared" si="35"/>
        <v>46319</v>
      </c>
      <c r="T61" s="51">
        <f t="shared" si="35"/>
        <v>46319</v>
      </c>
      <c r="U61" s="51">
        <f t="shared" si="35"/>
        <v>46319</v>
      </c>
      <c r="V61" s="51">
        <f t="shared" si="35"/>
        <v>46319</v>
      </c>
      <c r="W61" s="51">
        <f t="shared" si="35"/>
        <v>46319</v>
      </c>
      <c r="X61" s="51">
        <f t="shared" si="35"/>
        <v>46319</v>
      </c>
      <c r="Y61" s="51">
        <f t="shared" si="35"/>
        <v>46319</v>
      </c>
      <c r="Z61" s="51">
        <f t="shared" si="35"/>
        <v>46319</v>
      </c>
      <c r="AA61" s="51">
        <f t="shared" si="35"/>
        <v>555828</v>
      </c>
      <c r="AB61" s="51">
        <f t="shared" si="35"/>
        <v>153662</v>
      </c>
      <c r="AC61" s="51">
        <f t="shared" si="35"/>
        <v>153662</v>
      </c>
      <c r="AD61" s="51">
        <f t="shared" si="35"/>
        <v>153662</v>
      </c>
      <c r="AE61" s="51">
        <f t="shared" si="35"/>
        <v>153662</v>
      </c>
      <c r="AF61" s="51">
        <f t="shared" si="35"/>
        <v>614648</v>
      </c>
      <c r="AG61" s="60">
        <f t="shared" ref="AG61:AL61" si="36">SUM(AG36:AG59)</f>
        <v>168251</v>
      </c>
      <c r="AH61" s="51">
        <f t="shared" si="36"/>
        <v>168251</v>
      </c>
      <c r="AI61" s="51">
        <f t="shared" si="36"/>
        <v>168251</v>
      </c>
      <c r="AJ61" s="51">
        <f t="shared" si="36"/>
        <v>168251</v>
      </c>
      <c r="AK61" s="74">
        <f t="shared" si="36"/>
        <v>673004</v>
      </c>
      <c r="AL61" s="51">
        <f t="shared" si="36"/>
        <v>784469</v>
      </c>
    </row>
    <row r="62" spans="1:38" x14ac:dyDescent="0.25">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55"/>
      <c r="AH62" s="43"/>
      <c r="AI62" s="43"/>
      <c r="AJ62" s="43"/>
      <c r="AK62" s="69"/>
      <c r="AL62" s="43"/>
    </row>
    <row r="63" spans="1:38" s="48" customFormat="1" x14ac:dyDescent="0.25">
      <c r="A63" s="48" t="s">
        <v>122</v>
      </c>
      <c r="B63" s="48">
        <f>B33-B61</f>
        <v>-163442</v>
      </c>
      <c r="C63" s="48">
        <f t="shared" ref="C63:AL63" si="37">C33-C61</f>
        <v>-38442</v>
      </c>
      <c r="D63" s="48">
        <f t="shared" si="37"/>
        <v>-38442</v>
      </c>
      <c r="E63" s="48">
        <f t="shared" si="37"/>
        <v>-38442</v>
      </c>
      <c r="F63" s="48">
        <f t="shared" si="37"/>
        <v>-38442</v>
      </c>
      <c r="G63" s="48">
        <f t="shared" si="37"/>
        <v>-38442</v>
      </c>
      <c r="H63" s="48">
        <f t="shared" si="37"/>
        <v>-27632</v>
      </c>
      <c r="I63" s="48">
        <f t="shared" si="37"/>
        <v>-30260</v>
      </c>
      <c r="J63" s="48">
        <f t="shared" si="37"/>
        <v>-26287.5</v>
      </c>
      <c r="K63" s="48">
        <f t="shared" si="37"/>
        <v>-23445</v>
      </c>
      <c r="L63" s="48">
        <f t="shared" si="37"/>
        <v>-22035</v>
      </c>
      <c r="M63" s="48">
        <f t="shared" si="37"/>
        <v>-18275</v>
      </c>
      <c r="N63" s="48">
        <f t="shared" si="37"/>
        <v>-503586.5</v>
      </c>
      <c r="O63" s="48">
        <f t="shared" si="37"/>
        <v>-19926</v>
      </c>
      <c r="P63" s="48">
        <f t="shared" si="37"/>
        <v>-16632</v>
      </c>
      <c r="Q63" s="48">
        <f t="shared" si="37"/>
        <v>-12923</v>
      </c>
      <c r="R63" s="48">
        <f t="shared" si="37"/>
        <v>-8747</v>
      </c>
      <c r="S63" s="48">
        <f t="shared" si="37"/>
        <v>-4054</v>
      </c>
      <c r="T63" s="48">
        <f t="shared" si="37"/>
        <v>1237</v>
      </c>
      <c r="U63" s="48">
        <f t="shared" si="37"/>
        <v>7183</v>
      </c>
      <c r="V63" s="48">
        <f t="shared" si="37"/>
        <v>13875</v>
      </c>
      <c r="W63" s="48">
        <f t="shared" si="37"/>
        <v>21408</v>
      </c>
      <c r="X63" s="48">
        <f t="shared" si="37"/>
        <v>29878</v>
      </c>
      <c r="Y63" s="48">
        <f t="shared" si="37"/>
        <v>39400</v>
      </c>
      <c r="Z63" s="48">
        <f t="shared" si="37"/>
        <v>50120</v>
      </c>
      <c r="AA63" s="48">
        <f t="shared" si="37"/>
        <v>100819</v>
      </c>
      <c r="AB63" s="48">
        <f t="shared" si="37"/>
        <v>222087</v>
      </c>
      <c r="AC63" s="48">
        <f t="shared" si="37"/>
        <v>316025</v>
      </c>
      <c r="AD63" s="48">
        <f t="shared" si="37"/>
        <v>433459</v>
      </c>
      <c r="AE63" s="48">
        <f t="shared" si="37"/>
        <v>580239</v>
      </c>
      <c r="AF63" s="48">
        <f t="shared" si="37"/>
        <v>1551810</v>
      </c>
      <c r="AG63" s="57">
        <f t="shared" si="37"/>
        <v>796800</v>
      </c>
      <c r="AH63" s="48">
        <f t="shared" si="37"/>
        <v>941560</v>
      </c>
      <c r="AI63" s="48">
        <f t="shared" si="37"/>
        <v>1108030</v>
      </c>
      <c r="AJ63" s="48">
        <f t="shared" si="37"/>
        <v>1299476</v>
      </c>
      <c r="AK63" s="71">
        <f t="shared" si="37"/>
        <v>4145866</v>
      </c>
      <c r="AL63" s="48">
        <f t="shared" si="37"/>
        <v>5718242</v>
      </c>
    </row>
    <row r="64" spans="1:38" x14ac:dyDescent="0.25">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55"/>
      <c r="AH64" s="43"/>
      <c r="AI64" s="43"/>
      <c r="AJ64" s="43"/>
      <c r="AK64" s="69"/>
      <c r="AL64" s="43"/>
    </row>
    <row r="65" spans="1:38" s="109" customFormat="1" x14ac:dyDescent="0.25">
      <c r="A65" s="109" t="s">
        <v>123</v>
      </c>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c r="AA65" s="110"/>
      <c r="AB65" s="110"/>
      <c r="AC65" s="114">
        <f>(AB69+AC63)*'Income Statement Assumptions'!B149</f>
        <v>40603.35</v>
      </c>
      <c r="AD65" s="110">
        <f>AD63*'Income Statement Assumptions'!B149</f>
        <v>130037.7</v>
      </c>
      <c r="AE65" s="110">
        <f>AE63*'Income Statement Assumptions'!B149</f>
        <v>174071.69999999998</v>
      </c>
      <c r="AF65" s="114">
        <f>SUM(AB65:AE65)</f>
        <v>344712.75</v>
      </c>
      <c r="AG65" s="110">
        <f>AG63*'Income Statement Assumptions'!B149</f>
        <v>239040</v>
      </c>
      <c r="AH65" s="110">
        <f>AH63*'Income Statement Assumptions'!B149</f>
        <v>282468</v>
      </c>
      <c r="AI65" s="110">
        <f>AI63*'Income Statement Assumptions'!B149</f>
        <v>332409</v>
      </c>
      <c r="AJ65" s="110">
        <f>AJ63*'Income Statement Assumptions'!B149</f>
        <v>389842.8</v>
      </c>
      <c r="AK65" s="111">
        <f>+SUM(AG65:AJ65)</f>
        <v>1243759.8</v>
      </c>
      <c r="AL65" s="110">
        <f>AL63*'Income Statement Assumptions'!B149</f>
        <v>1715472.5999999999</v>
      </c>
    </row>
    <row r="66" spans="1:38" x14ac:dyDescent="0.25">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c r="AB66" s="43"/>
      <c r="AC66" s="43"/>
      <c r="AD66" s="43"/>
      <c r="AE66" s="43"/>
      <c r="AF66" s="43"/>
      <c r="AG66" s="55"/>
      <c r="AH66" s="43"/>
      <c r="AI66" s="43"/>
      <c r="AJ66" s="43"/>
      <c r="AK66" s="69"/>
      <c r="AL66" s="43"/>
    </row>
    <row r="67" spans="1:38" s="48" customFormat="1" ht="16.5" thickBot="1" x14ac:dyDescent="0.3">
      <c r="A67" s="48" t="s">
        <v>124</v>
      </c>
      <c r="B67" s="52">
        <f>B63-B65</f>
        <v>-163442</v>
      </c>
      <c r="C67" s="52">
        <f t="shared" ref="C67:N67" si="38">C63-C65</f>
        <v>-38442</v>
      </c>
      <c r="D67" s="52">
        <f t="shared" si="38"/>
        <v>-38442</v>
      </c>
      <c r="E67" s="52">
        <f t="shared" si="38"/>
        <v>-38442</v>
      </c>
      <c r="F67" s="52">
        <f t="shared" si="38"/>
        <v>-38442</v>
      </c>
      <c r="G67" s="52">
        <f>G63-G65</f>
        <v>-38442</v>
      </c>
      <c r="H67" s="52">
        <f t="shared" si="38"/>
        <v>-27632</v>
      </c>
      <c r="I67" s="52">
        <f t="shared" si="38"/>
        <v>-30260</v>
      </c>
      <c r="J67" s="52">
        <f t="shared" si="38"/>
        <v>-26287.5</v>
      </c>
      <c r="K67" s="52">
        <f t="shared" si="38"/>
        <v>-23445</v>
      </c>
      <c r="L67" s="52">
        <f t="shared" si="38"/>
        <v>-22035</v>
      </c>
      <c r="M67" s="52">
        <f t="shared" si="38"/>
        <v>-18275</v>
      </c>
      <c r="N67" s="52">
        <f t="shared" si="38"/>
        <v>-503586.5</v>
      </c>
      <c r="O67" s="52">
        <f t="shared" ref="O67:AA67" si="39">O63-O65</f>
        <v>-19926</v>
      </c>
      <c r="P67" s="52">
        <f t="shared" si="39"/>
        <v>-16632</v>
      </c>
      <c r="Q67" s="52">
        <f t="shared" si="39"/>
        <v>-12923</v>
      </c>
      <c r="R67" s="52">
        <f t="shared" si="39"/>
        <v>-8747</v>
      </c>
      <c r="S67" s="52">
        <f t="shared" si="39"/>
        <v>-4054</v>
      </c>
      <c r="T67" s="52">
        <f t="shared" si="39"/>
        <v>1237</v>
      </c>
      <c r="U67" s="52">
        <f t="shared" si="39"/>
        <v>7183</v>
      </c>
      <c r="V67" s="52">
        <f t="shared" si="39"/>
        <v>13875</v>
      </c>
      <c r="W67" s="52">
        <f t="shared" si="39"/>
        <v>21408</v>
      </c>
      <c r="X67" s="52">
        <f t="shared" si="39"/>
        <v>29878</v>
      </c>
      <c r="Y67" s="52">
        <f t="shared" si="39"/>
        <v>39400</v>
      </c>
      <c r="Z67" s="52">
        <f t="shared" si="39"/>
        <v>50120</v>
      </c>
      <c r="AA67" s="52">
        <f t="shared" si="39"/>
        <v>100819</v>
      </c>
      <c r="AB67" s="52">
        <f t="shared" ref="AB67:AF67" si="40">AB63-AB65</f>
        <v>222087</v>
      </c>
      <c r="AC67" s="52">
        <f t="shared" si="40"/>
        <v>275421.65000000002</v>
      </c>
      <c r="AD67" s="52">
        <f t="shared" si="40"/>
        <v>303421.3</v>
      </c>
      <c r="AE67" s="52">
        <f t="shared" si="40"/>
        <v>406167.30000000005</v>
      </c>
      <c r="AF67" s="52">
        <f t="shared" si="40"/>
        <v>1207097.25</v>
      </c>
      <c r="AG67" s="66">
        <f t="shared" ref="AG67:AL67" si="41">AG63-AG65</f>
        <v>557760</v>
      </c>
      <c r="AH67" s="52">
        <f t="shared" si="41"/>
        <v>659092</v>
      </c>
      <c r="AI67" s="52">
        <f t="shared" si="41"/>
        <v>775621</v>
      </c>
      <c r="AJ67" s="52">
        <f t="shared" si="41"/>
        <v>909633.2</v>
      </c>
      <c r="AK67" s="75">
        <f t="shared" si="41"/>
        <v>2902106.2</v>
      </c>
      <c r="AL67" s="52">
        <f t="shared" si="41"/>
        <v>4002769.4000000004</v>
      </c>
    </row>
    <row r="68" spans="1:38" ht="16.5" thickTop="1" x14ac:dyDescent="0.25">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c r="AB68" s="43"/>
      <c r="AC68" s="43"/>
      <c r="AD68" s="43"/>
      <c r="AE68" s="43"/>
      <c r="AF68" s="43"/>
      <c r="AG68" s="55"/>
      <c r="AH68" s="43"/>
      <c r="AI68" s="43"/>
      <c r="AJ68" s="43"/>
      <c r="AK68" s="69"/>
      <c r="AL68" s="43"/>
    </row>
    <row r="69" spans="1:38" s="48" customFormat="1" ht="16.5" thickBot="1" x14ac:dyDescent="0.3">
      <c r="A69" s="48" t="s">
        <v>125</v>
      </c>
      <c r="B69" s="52">
        <f>'Statement of Retained Earnings'!B7</f>
        <v>-163442</v>
      </c>
      <c r="C69" s="52">
        <f>B69+'Statement of Retained Earnings'!C7</f>
        <v>-201884</v>
      </c>
      <c r="D69" s="52">
        <f>C69+'Statement of Retained Earnings'!D7</f>
        <v>-240326</v>
      </c>
      <c r="E69" s="52">
        <f>D69+'Statement of Retained Earnings'!E7</f>
        <v>-278768</v>
      </c>
      <c r="F69" s="52">
        <f>E69+'Statement of Retained Earnings'!F7</f>
        <v>-317210</v>
      </c>
      <c r="G69" s="52">
        <f>F69+'Statement of Retained Earnings'!G7</f>
        <v>-355652</v>
      </c>
      <c r="H69" s="52">
        <f>G69+'Statement of Retained Earnings'!H7</f>
        <v>-383284</v>
      </c>
      <c r="I69" s="52">
        <f>H69+'Statement of Retained Earnings'!I7</f>
        <v>-413544</v>
      </c>
      <c r="J69" s="52">
        <f>I69+'Statement of Retained Earnings'!J7</f>
        <v>-439831.5</v>
      </c>
      <c r="K69" s="52">
        <f>J69+'Statement of Retained Earnings'!K7</f>
        <v>-463276.5</v>
      </c>
      <c r="L69" s="52">
        <f>K69+'Statement of Retained Earnings'!L7</f>
        <v>-485311.5</v>
      </c>
      <c r="M69" s="52">
        <f>L69+'Statement of Retained Earnings'!M7</f>
        <v>-503586.5</v>
      </c>
      <c r="N69" s="52">
        <f>M69</f>
        <v>-503586.5</v>
      </c>
      <c r="O69" s="52">
        <f>N69+O63</f>
        <v>-523512.5</v>
      </c>
      <c r="P69" s="52">
        <f t="shared" ref="P69:Z69" si="42">O69+P63</f>
        <v>-540144.5</v>
      </c>
      <c r="Q69" s="52">
        <f t="shared" si="42"/>
        <v>-553067.5</v>
      </c>
      <c r="R69" s="52">
        <f t="shared" si="42"/>
        <v>-561814.5</v>
      </c>
      <c r="S69" s="52">
        <f t="shared" si="42"/>
        <v>-565868.5</v>
      </c>
      <c r="T69" s="52">
        <f t="shared" si="42"/>
        <v>-564631.5</v>
      </c>
      <c r="U69" s="52">
        <f t="shared" si="42"/>
        <v>-557448.5</v>
      </c>
      <c r="V69" s="52">
        <f t="shared" si="42"/>
        <v>-543573.5</v>
      </c>
      <c r="W69" s="52">
        <f t="shared" si="42"/>
        <v>-522165.5</v>
      </c>
      <c r="X69" s="52">
        <f t="shared" si="42"/>
        <v>-492287.5</v>
      </c>
      <c r="Y69" s="52">
        <f t="shared" si="42"/>
        <v>-452887.5</v>
      </c>
      <c r="Z69" s="52">
        <f t="shared" si="42"/>
        <v>-402767.5</v>
      </c>
      <c r="AA69" s="52">
        <f t="shared" ref="AA69" si="43">Z69</f>
        <v>-402767.5</v>
      </c>
      <c r="AB69" s="52">
        <f>AA69+AB67</f>
        <v>-180680.5</v>
      </c>
      <c r="AC69" s="52">
        <f t="shared" ref="AC69:AL69" si="44">AB69+AC67</f>
        <v>94741.150000000023</v>
      </c>
      <c r="AD69" s="52">
        <f t="shared" si="44"/>
        <v>398162.45</v>
      </c>
      <c r="AE69" s="52">
        <f t="shared" si="44"/>
        <v>804329.75</v>
      </c>
      <c r="AF69" s="52">
        <f>AE69</f>
        <v>804329.75</v>
      </c>
      <c r="AG69" s="66">
        <f>AF69+AG67</f>
        <v>1362089.75</v>
      </c>
      <c r="AH69" s="52">
        <f t="shared" ref="AH69:AJ69" si="45">AG69+AH67</f>
        <v>2021181.75</v>
      </c>
      <c r="AI69" s="52">
        <f t="shared" si="45"/>
        <v>2796802.75</v>
      </c>
      <c r="AJ69" s="52">
        <f t="shared" si="45"/>
        <v>3706435.95</v>
      </c>
      <c r="AK69" s="75">
        <f>AJ69</f>
        <v>3706435.95</v>
      </c>
      <c r="AL69" s="52">
        <f t="shared" si="44"/>
        <v>7709205.3500000006</v>
      </c>
    </row>
    <row r="70" spans="1:38" ht="16.5" thickTop="1" x14ac:dyDescent="0.25"/>
  </sheetData>
  <mergeCells count="10">
    <mergeCell ref="AB2:AL2"/>
    <mergeCell ref="AB4:AF4"/>
    <mergeCell ref="AG4:AK4"/>
    <mergeCell ref="AB1:AL1"/>
    <mergeCell ref="B4:N4"/>
    <mergeCell ref="O4:AA4"/>
    <mergeCell ref="B1:N1"/>
    <mergeCell ref="B2:N2"/>
    <mergeCell ref="O1:AA1"/>
    <mergeCell ref="O2:AA2"/>
  </mergeCells>
  <pageMargins left="0.7" right="0.7" top="0.75" bottom="0.75" header="0.3" footer="0.3"/>
  <pageSetup scale="46" orientation="landscape" r:id="rId1"/>
  <colBreaks count="2" manualBreakCount="2">
    <brk id="14" max="1048575" man="1"/>
    <brk id="27" max="1048575" man="1"/>
  </col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10"/>
  <sheetViews>
    <sheetView topLeftCell="K1" zoomScaleNormal="100" workbookViewId="0">
      <selection activeCell="AA9" sqref="AA9"/>
    </sheetView>
  </sheetViews>
  <sheetFormatPr defaultColWidth="9.140625" defaultRowHeight="15.75" x14ac:dyDescent="0.25"/>
  <cols>
    <col min="1" max="1" width="25.85546875" style="1" bestFit="1" customWidth="1"/>
    <col min="2" max="2" width="11.7109375" style="1" bestFit="1" customWidth="1"/>
    <col min="3" max="3" width="12.140625" style="1" bestFit="1" customWidth="1"/>
    <col min="4" max="6" width="11.7109375" style="1" bestFit="1" customWidth="1"/>
    <col min="7" max="8" width="13.5703125" style="1" bestFit="1" customWidth="1"/>
    <col min="9" max="9" width="12.7109375" style="1" bestFit="1" customWidth="1"/>
    <col min="10" max="10" width="13.85546875" style="1" bestFit="1" customWidth="1"/>
    <col min="11" max="11" width="12.7109375" style="1" bestFit="1" customWidth="1"/>
    <col min="12" max="12" width="13.42578125" style="1" bestFit="1" customWidth="1"/>
    <col min="13" max="13" width="13.140625" style="1" bestFit="1" customWidth="1"/>
    <col min="14" max="17" width="12.7109375" style="1" bestFit="1" customWidth="1"/>
    <col min="18" max="34" width="14" style="1" bestFit="1" customWidth="1"/>
    <col min="35" max="16384" width="9.140625" style="1"/>
  </cols>
  <sheetData>
    <row r="1" spans="1:34" s="29" customFormat="1" ht="18.75" x14ac:dyDescent="0.3">
      <c r="B1" s="130" t="s">
        <v>110</v>
      </c>
      <c r="C1" s="130"/>
      <c r="D1" s="130"/>
      <c r="E1" s="130"/>
      <c r="F1" s="130"/>
      <c r="G1" s="130"/>
      <c r="H1" s="130"/>
      <c r="I1" s="130"/>
      <c r="J1" s="130"/>
      <c r="K1" s="130"/>
      <c r="L1" s="130"/>
      <c r="M1" s="130"/>
      <c r="N1" s="130" t="str">
        <f>B1</f>
        <v>Company Name</v>
      </c>
      <c r="O1" s="130"/>
      <c r="P1" s="130"/>
      <c r="Q1" s="130"/>
      <c r="R1" s="130"/>
      <c r="S1" s="130"/>
      <c r="T1" s="130"/>
      <c r="U1" s="130"/>
      <c r="V1" s="130"/>
      <c r="W1" s="130"/>
      <c r="X1" s="130"/>
      <c r="Y1" s="130"/>
      <c r="Z1" s="130" t="str">
        <f>N1</f>
        <v>Company Name</v>
      </c>
      <c r="AA1" s="130"/>
      <c r="AB1" s="130"/>
      <c r="AC1" s="130"/>
      <c r="AD1" s="130"/>
      <c r="AE1" s="130"/>
      <c r="AF1" s="130"/>
      <c r="AG1" s="130"/>
      <c r="AH1" s="130"/>
    </row>
    <row r="2" spans="1:34" s="29" customFormat="1" ht="18.75" x14ac:dyDescent="0.3">
      <c r="B2" s="118" t="s">
        <v>126</v>
      </c>
      <c r="C2" s="118"/>
      <c r="D2" s="118"/>
      <c r="E2" s="118"/>
      <c r="F2" s="118"/>
      <c r="G2" s="118"/>
      <c r="H2" s="118"/>
      <c r="I2" s="118"/>
      <c r="J2" s="118"/>
      <c r="K2" s="118"/>
      <c r="L2" s="118"/>
      <c r="M2" s="118"/>
      <c r="N2" s="118" t="s">
        <v>126</v>
      </c>
      <c r="O2" s="118"/>
      <c r="P2" s="118"/>
      <c r="Q2" s="118"/>
      <c r="R2" s="118"/>
      <c r="S2" s="118"/>
      <c r="T2" s="118"/>
      <c r="U2" s="118"/>
      <c r="V2" s="118"/>
      <c r="W2" s="118"/>
      <c r="X2" s="118"/>
      <c r="Y2" s="118"/>
      <c r="Z2" s="118" t="s">
        <v>126</v>
      </c>
      <c r="AA2" s="118"/>
      <c r="AB2" s="118"/>
      <c r="AC2" s="118"/>
      <c r="AD2" s="118"/>
      <c r="AE2" s="118"/>
      <c r="AF2" s="118"/>
      <c r="AG2" s="118"/>
      <c r="AH2" s="118"/>
    </row>
    <row r="3" spans="1:34" s="29" customFormat="1" ht="18.75" x14ac:dyDescent="0.3"/>
    <row r="4" spans="1:34" s="78" customFormat="1" ht="18.75" x14ac:dyDescent="0.3">
      <c r="B4" s="130" t="s">
        <v>9</v>
      </c>
      <c r="C4" s="130"/>
      <c r="D4" s="130"/>
      <c r="E4" s="130"/>
      <c r="F4" s="130"/>
      <c r="G4" s="130"/>
      <c r="H4" s="130"/>
      <c r="I4" s="130"/>
      <c r="J4" s="130"/>
      <c r="K4" s="130"/>
      <c r="L4" s="130"/>
      <c r="M4" s="130"/>
      <c r="N4" s="130" t="s">
        <v>25</v>
      </c>
      <c r="O4" s="130"/>
      <c r="P4" s="130"/>
      <c r="Q4" s="130"/>
      <c r="R4" s="130"/>
      <c r="S4" s="130"/>
      <c r="T4" s="130"/>
      <c r="U4" s="130"/>
      <c r="V4" s="130"/>
      <c r="W4" s="130"/>
      <c r="X4" s="130"/>
      <c r="Y4" s="130"/>
      <c r="Z4" s="130" t="s">
        <v>26</v>
      </c>
      <c r="AA4" s="130"/>
      <c r="AB4" s="130"/>
      <c r="AC4" s="130"/>
      <c r="AD4" s="131" t="s">
        <v>112</v>
      </c>
      <c r="AE4" s="130"/>
      <c r="AF4" s="130"/>
      <c r="AG4" s="132"/>
      <c r="AH4" s="79" t="s">
        <v>32</v>
      </c>
    </row>
    <row r="5" spans="1:34" s="32" customFormat="1" ht="18.75" x14ac:dyDescent="0.3">
      <c r="A5" s="31"/>
      <c r="B5" s="28" t="s">
        <v>10</v>
      </c>
      <c r="C5" s="28" t="s">
        <v>11</v>
      </c>
      <c r="D5" s="28" t="s">
        <v>12</v>
      </c>
      <c r="E5" s="28" t="s">
        <v>13</v>
      </c>
      <c r="F5" s="28" t="s">
        <v>14</v>
      </c>
      <c r="G5" s="28" t="s">
        <v>15</v>
      </c>
      <c r="H5" s="28" t="s">
        <v>16</v>
      </c>
      <c r="I5" s="28" t="s">
        <v>17</v>
      </c>
      <c r="J5" s="28" t="s">
        <v>18</v>
      </c>
      <c r="K5" s="28" t="s">
        <v>19</v>
      </c>
      <c r="L5" s="28" t="s">
        <v>20</v>
      </c>
      <c r="M5" s="28" t="s">
        <v>21</v>
      </c>
      <c r="N5" s="28" t="s">
        <v>10</v>
      </c>
      <c r="O5" s="28" t="s">
        <v>11</v>
      </c>
      <c r="P5" s="28" t="s">
        <v>12</v>
      </c>
      <c r="Q5" s="28" t="s">
        <v>13</v>
      </c>
      <c r="R5" s="28" t="s">
        <v>14</v>
      </c>
      <c r="S5" s="28" t="s">
        <v>15</v>
      </c>
      <c r="T5" s="28" t="s">
        <v>16</v>
      </c>
      <c r="U5" s="28" t="s">
        <v>17</v>
      </c>
      <c r="V5" s="28" t="s">
        <v>18</v>
      </c>
      <c r="W5" s="28" t="s">
        <v>19</v>
      </c>
      <c r="X5" s="28" t="s">
        <v>20</v>
      </c>
      <c r="Y5" s="28" t="s">
        <v>21</v>
      </c>
      <c r="Z5" s="28" t="s">
        <v>27</v>
      </c>
      <c r="AA5" s="28" t="s">
        <v>28</v>
      </c>
      <c r="AB5" s="28" t="s">
        <v>29</v>
      </c>
      <c r="AC5" s="28" t="s">
        <v>30</v>
      </c>
      <c r="AD5" s="53" t="s">
        <v>27</v>
      </c>
      <c r="AE5" s="28" t="s">
        <v>28</v>
      </c>
      <c r="AF5" s="28" t="s">
        <v>29</v>
      </c>
      <c r="AG5" s="67" t="s">
        <v>30</v>
      </c>
      <c r="AH5" s="28" t="s">
        <v>22</v>
      </c>
    </row>
    <row r="6" spans="1:34" x14ac:dyDescent="0.25">
      <c r="A6" s="1" t="s">
        <v>127</v>
      </c>
      <c r="B6" s="38">
        <v>0</v>
      </c>
      <c r="C6" s="38">
        <f>B9</f>
        <v>-163442</v>
      </c>
      <c r="D6" s="38">
        <f t="shared" ref="D6:M6" si="0">C9</f>
        <v>-201884</v>
      </c>
      <c r="E6" s="38">
        <f t="shared" si="0"/>
        <v>-240326</v>
      </c>
      <c r="F6" s="38">
        <f t="shared" si="0"/>
        <v>-278768</v>
      </c>
      <c r="G6" s="38">
        <f t="shared" si="0"/>
        <v>-317210</v>
      </c>
      <c r="H6" s="38">
        <f t="shared" si="0"/>
        <v>-355652</v>
      </c>
      <c r="I6" s="38">
        <f t="shared" si="0"/>
        <v>-383284</v>
      </c>
      <c r="J6" s="38">
        <f t="shared" si="0"/>
        <v>-413544</v>
      </c>
      <c r="K6" s="38">
        <f t="shared" si="0"/>
        <v>-439831.5</v>
      </c>
      <c r="L6" s="38">
        <f t="shared" si="0"/>
        <v>-463276.5</v>
      </c>
      <c r="M6" s="38">
        <f t="shared" si="0"/>
        <v>-485311.5</v>
      </c>
      <c r="N6" s="38">
        <f>M9</f>
        <v>-503586.5</v>
      </c>
      <c r="O6" s="38">
        <f t="shared" ref="O6:Y6" si="1">N9</f>
        <v>-523512.5</v>
      </c>
      <c r="P6" s="38">
        <f t="shared" si="1"/>
        <v>-540144.5</v>
      </c>
      <c r="Q6" s="38">
        <f t="shared" si="1"/>
        <v>-553067.5</v>
      </c>
      <c r="R6" s="38">
        <f t="shared" si="1"/>
        <v>-561814.5</v>
      </c>
      <c r="S6" s="38">
        <f t="shared" si="1"/>
        <v>-565868.5</v>
      </c>
      <c r="T6" s="38">
        <f t="shared" si="1"/>
        <v>-564631.5</v>
      </c>
      <c r="U6" s="38">
        <f t="shared" si="1"/>
        <v>-557448.5</v>
      </c>
      <c r="V6" s="38">
        <f t="shared" si="1"/>
        <v>-543573.5</v>
      </c>
      <c r="W6" s="38">
        <f t="shared" si="1"/>
        <v>-522165.5</v>
      </c>
      <c r="X6" s="38">
        <f t="shared" si="1"/>
        <v>-492287.5</v>
      </c>
      <c r="Y6" s="38">
        <f t="shared" si="1"/>
        <v>-452887.5</v>
      </c>
      <c r="Z6" s="38">
        <f>Y9</f>
        <v>-402767.5</v>
      </c>
      <c r="AA6" s="38">
        <f t="shared" ref="AA6:AG6" si="2">Z9</f>
        <v>-180680.5</v>
      </c>
      <c r="AB6" s="38">
        <f t="shared" si="2"/>
        <v>94741.150000000023</v>
      </c>
      <c r="AC6" s="38">
        <f t="shared" si="2"/>
        <v>398162.45</v>
      </c>
      <c r="AD6" s="54">
        <f>AC9</f>
        <v>804329.75</v>
      </c>
      <c r="AE6" s="38">
        <f t="shared" si="2"/>
        <v>1362089.75</v>
      </c>
      <c r="AF6" s="38">
        <f t="shared" si="2"/>
        <v>2021181.75</v>
      </c>
      <c r="AG6" s="68">
        <f t="shared" si="2"/>
        <v>2796802.75</v>
      </c>
      <c r="AH6" s="38">
        <f>AG9</f>
        <v>3706435.95</v>
      </c>
    </row>
    <row r="7" spans="1:34" x14ac:dyDescent="0.25">
      <c r="A7" s="1" t="s">
        <v>124</v>
      </c>
      <c r="B7" s="38">
        <f>'Income Statement'!B67</f>
        <v>-163442</v>
      </c>
      <c r="C7" s="38">
        <f>'Income Statement'!C67</f>
        <v>-38442</v>
      </c>
      <c r="D7" s="38">
        <f>'Income Statement'!D67</f>
        <v>-38442</v>
      </c>
      <c r="E7" s="38">
        <f>'Income Statement'!E67</f>
        <v>-38442</v>
      </c>
      <c r="F7" s="38">
        <f>'Income Statement'!F67</f>
        <v>-38442</v>
      </c>
      <c r="G7" s="38">
        <f>'Income Statement'!G67</f>
        <v>-38442</v>
      </c>
      <c r="H7" s="38">
        <f>'Income Statement'!H67</f>
        <v>-27632</v>
      </c>
      <c r="I7" s="38">
        <f>'Income Statement'!I67</f>
        <v>-30260</v>
      </c>
      <c r="J7" s="38">
        <f>'Income Statement'!J67</f>
        <v>-26287.5</v>
      </c>
      <c r="K7" s="38">
        <f>'Income Statement'!K67</f>
        <v>-23445</v>
      </c>
      <c r="L7" s="38">
        <f>'Income Statement'!L67</f>
        <v>-22035</v>
      </c>
      <c r="M7" s="38">
        <f>'Income Statement'!M67</f>
        <v>-18275</v>
      </c>
      <c r="N7" s="38">
        <f>'Income Statement'!O67</f>
        <v>-19926</v>
      </c>
      <c r="O7" s="38">
        <f>'Income Statement'!P67</f>
        <v>-16632</v>
      </c>
      <c r="P7" s="38">
        <f>'Income Statement'!Q67</f>
        <v>-12923</v>
      </c>
      <c r="Q7" s="38">
        <f>'Income Statement'!R67</f>
        <v>-8747</v>
      </c>
      <c r="R7" s="38">
        <f>'Income Statement'!S67</f>
        <v>-4054</v>
      </c>
      <c r="S7" s="38">
        <f>'Income Statement'!T67</f>
        <v>1237</v>
      </c>
      <c r="T7" s="38">
        <f>'Income Statement'!U67</f>
        <v>7183</v>
      </c>
      <c r="U7" s="38">
        <f>'Income Statement'!V67</f>
        <v>13875</v>
      </c>
      <c r="V7" s="38">
        <f>'Income Statement'!W67</f>
        <v>21408</v>
      </c>
      <c r="W7" s="38">
        <f>'Income Statement'!X67</f>
        <v>29878</v>
      </c>
      <c r="X7" s="38">
        <f>'Income Statement'!Y67</f>
        <v>39400</v>
      </c>
      <c r="Y7" s="38">
        <f>'Income Statement'!Z67</f>
        <v>50120</v>
      </c>
      <c r="Z7" s="38">
        <f>'Income Statement'!AB67</f>
        <v>222087</v>
      </c>
      <c r="AA7" s="38">
        <f>'Income Statement'!AC67</f>
        <v>275421.65000000002</v>
      </c>
      <c r="AB7" s="38">
        <f>'Income Statement'!AD67</f>
        <v>303421.3</v>
      </c>
      <c r="AC7" s="38">
        <f>'Income Statement'!AE67</f>
        <v>406167.30000000005</v>
      </c>
      <c r="AD7" s="54">
        <f>'Income Statement'!AG67</f>
        <v>557760</v>
      </c>
      <c r="AE7" s="38">
        <f>'Income Statement'!AH67</f>
        <v>659092</v>
      </c>
      <c r="AF7" s="38">
        <f>'Income Statement'!AI67</f>
        <v>775621</v>
      </c>
      <c r="AG7" s="68">
        <f>'Income Statement'!AJ67</f>
        <v>909633.2</v>
      </c>
      <c r="AH7" s="38">
        <f>'Income Statement'!AL67</f>
        <v>4002769.4000000004</v>
      </c>
    </row>
    <row r="8" spans="1:34" x14ac:dyDescent="0.25">
      <c r="A8" s="1" t="s">
        <v>128</v>
      </c>
      <c r="B8" s="39">
        <f>-'Cash Flow Statement'!B27</f>
        <v>0</v>
      </c>
      <c r="C8" s="39">
        <f>-'Cash Flow Statement'!C27</f>
        <v>0</v>
      </c>
      <c r="D8" s="39">
        <f>-'Cash Flow Statement'!D27</f>
        <v>0</v>
      </c>
      <c r="E8" s="39">
        <f>-'Cash Flow Statement'!E27</f>
        <v>0</v>
      </c>
      <c r="F8" s="39">
        <f>-'Cash Flow Statement'!F27</f>
        <v>0</v>
      </c>
      <c r="G8" s="39">
        <f>-'Cash Flow Statement'!G27</f>
        <v>0</v>
      </c>
      <c r="H8" s="39">
        <f>-'Cash Flow Statement'!H27</f>
        <v>0</v>
      </c>
      <c r="I8" s="39">
        <f>-'Cash Flow Statement'!I27</f>
        <v>0</v>
      </c>
      <c r="J8" s="39">
        <f>-'Cash Flow Statement'!J27</f>
        <v>0</v>
      </c>
      <c r="K8" s="39">
        <f>-'Cash Flow Statement'!K27</f>
        <v>0</v>
      </c>
      <c r="L8" s="39">
        <f>-'Cash Flow Statement'!L27</f>
        <v>0</v>
      </c>
      <c r="M8" s="39">
        <f>-'Cash Flow Statement'!M27</f>
        <v>0</v>
      </c>
      <c r="N8" s="39">
        <f>'Cash Flow Statement'!O27</f>
        <v>0</v>
      </c>
      <c r="O8" s="39">
        <f>'Cash Flow Statement'!P27</f>
        <v>0</v>
      </c>
      <c r="P8" s="39">
        <f>'Cash Flow Statement'!Q27</f>
        <v>0</v>
      </c>
      <c r="Q8" s="39">
        <f>'Cash Flow Statement'!R27</f>
        <v>0</v>
      </c>
      <c r="R8" s="39">
        <f>'Cash Flow Statement'!S27</f>
        <v>0</v>
      </c>
      <c r="S8" s="39">
        <f>'Cash Flow Statement'!T27</f>
        <v>0</v>
      </c>
      <c r="T8" s="39">
        <f>'Cash Flow Statement'!U27</f>
        <v>0</v>
      </c>
      <c r="U8" s="39">
        <f>'Cash Flow Statement'!V27</f>
        <v>0</v>
      </c>
      <c r="V8" s="39">
        <f>'Cash Flow Statement'!W27</f>
        <v>0</v>
      </c>
      <c r="W8" s="39">
        <f>'Cash Flow Statement'!X27</f>
        <v>0</v>
      </c>
      <c r="X8" s="39">
        <f>'Cash Flow Statement'!Y27</f>
        <v>0</v>
      </c>
      <c r="Y8" s="39">
        <f>'Cash Flow Statement'!Z27</f>
        <v>0</v>
      </c>
      <c r="Z8" s="39">
        <f>'Cash Flow Statement'!AB27</f>
        <v>0</v>
      </c>
      <c r="AA8" s="39">
        <f>'Cash Flow Statement'!AC27</f>
        <v>0</v>
      </c>
      <c r="AB8" s="39">
        <f>'Cash Flow Statement'!AD27</f>
        <v>0</v>
      </c>
      <c r="AC8" s="39">
        <f>'Cash Flow Statement'!AE27</f>
        <v>0</v>
      </c>
      <c r="AD8" s="81">
        <f>'Cash Flow Statement'!AG27</f>
        <v>0</v>
      </c>
      <c r="AE8" s="39">
        <f>'Cash Flow Statement'!AH27</f>
        <v>0</v>
      </c>
      <c r="AF8" s="39">
        <f>'Cash Flow Statement'!AI27</f>
        <v>0</v>
      </c>
      <c r="AG8" s="39">
        <f>'Cash Flow Statement'!AJ27</f>
        <v>0</v>
      </c>
      <c r="AH8" s="81">
        <f>'Cash Flow Statement'!AL27</f>
        <v>0</v>
      </c>
    </row>
    <row r="9" spans="1:34" ht="16.5" thickBot="1" x14ac:dyDescent="0.3">
      <c r="A9" s="1" t="s">
        <v>129</v>
      </c>
      <c r="B9" s="40">
        <f>B6+B7-B8</f>
        <v>-163442</v>
      </c>
      <c r="C9" s="40">
        <f t="shared" ref="C9:M9" si="3">C6+C7-C8</f>
        <v>-201884</v>
      </c>
      <c r="D9" s="40">
        <f t="shared" si="3"/>
        <v>-240326</v>
      </c>
      <c r="E9" s="40">
        <f t="shared" si="3"/>
        <v>-278768</v>
      </c>
      <c r="F9" s="40">
        <f t="shared" si="3"/>
        <v>-317210</v>
      </c>
      <c r="G9" s="40">
        <f t="shared" si="3"/>
        <v>-355652</v>
      </c>
      <c r="H9" s="40">
        <f t="shared" si="3"/>
        <v>-383284</v>
      </c>
      <c r="I9" s="40">
        <f t="shared" si="3"/>
        <v>-413544</v>
      </c>
      <c r="J9" s="40">
        <f t="shared" si="3"/>
        <v>-439831.5</v>
      </c>
      <c r="K9" s="40">
        <f t="shared" si="3"/>
        <v>-463276.5</v>
      </c>
      <c r="L9" s="40">
        <f t="shared" si="3"/>
        <v>-485311.5</v>
      </c>
      <c r="M9" s="40">
        <f t="shared" si="3"/>
        <v>-503586.5</v>
      </c>
      <c r="N9" s="40">
        <f>N6+N7-N8</f>
        <v>-523512.5</v>
      </c>
      <c r="O9" s="40">
        <f t="shared" ref="O9:Z9" si="4">O6+O7-O8</f>
        <v>-540144.5</v>
      </c>
      <c r="P9" s="40">
        <f t="shared" si="4"/>
        <v>-553067.5</v>
      </c>
      <c r="Q9" s="40">
        <f t="shared" si="4"/>
        <v>-561814.5</v>
      </c>
      <c r="R9" s="40">
        <f t="shared" si="4"/>
        <v>-565868.5</v>
      </c>
      <c r="S9" s="40">
        <f t="shared" si="4"/>
        <v>-564631.5</v>
      </c>
      <c r="T9" s="40">
        <f t="shared" si="4"/>
        <v>-557448.5</v>
      </c>
      <c r="U9" s="40">
        <f t="shared" si="4"/>
        <v>-543573.5</v>
      </c>
      <c r="V9" s="40">
        <f t="shared" si="4"/>
        <v>-522165.5</v>
      </c>
      <c r="W9" s="40">
        <f t="shared" si="4"/>
        <v>-492287.5</v>
      </c>
      <c r="X9" s="40">
        <f t="shared" si="4"/>
        <v>-452887.5</v>
      </c>
      <c r="Y9" s="40">
        <f t="shared" si="4"/>
        <v>-402767.5</v>
      </c>
      <c r="Z9" s="40">
        <f t="shared" si="4"/>
        <v>-180680.5</v>
      </c>
      <c r="AA9" s="40">
        <f t="shared" ref="AA9" si="5">AA6+AA7-AA8</f>
        <v>94741.150000000023</v>
      </c>
      <c r="AB9" s="40">
        <f t="shared" ref="AB9" si="6">AB6+AB7-AB8</f>
        <v>398162.45</v>
      </c>
      <c r="AC9" s="40">
        <f t="shared" ref="AC9" si="7">AC6+AC7-AC8</f>
        <v>804329.75</v>
      </c>
      <c r="AD9" s="82">
        <f t="shared" ref="AD9" si="8">AD6+AD7-AD8</f>
        <v>1362089.75</v>
      </c>
      <c r="AE9" s="40">
        <f t="shared" ref="AE9" si="9">AE6+AE7-AE8</f>
        <v>2021181.75</v>
      </c>
      <c r="AF9" s="40">
        <f t="shared" ref="AF9" si="10">AF6+AF7-AF8</f>
        <v>2796802.75</v>
      </c>
      <c r="AG9" s="80">
        <f t="shared" ref="AG9" si="11">AG6+AG7-AG8</f>
        <v>3706435.95</v>
      </c>
      <c r="AH9" s="40">
        <f t="shared" ref="AH9" si="12">AH6+AH7-AH8</f>
        <v>7709205.3500000006</v>
      </c>
    </row>
    <row r="10" spans="1:34" ht="16.5" thickTop="1" x14ac:dyDescent="0.25"/>
  </sheetData>
  <mergeCells count="10">
    <mergeCell ref="B4:M4"/>
    <mergeCell ref="N4:Y4"/>
    <mergeCell ref="Z4:AC4"/>
    <mergeCell ref="AD4:AG4"/>
    <mergeCell ref="B1:M1"/>
    <mergeCell ref="N1:Y1"/>
    <mergeCell ref="Z1:AH1"/>
    <mergeCell ref="B2:M2"/>
    <mergeCell ref="N2:Y2"/>
    <mergeCell ref="Z2:AH2"/>
  </mergeCells>
  <pageMargins left="0.7" right="0.7" top="0.75" bottom="0.75" header="0.3" footer="0.3"/>
  <pageSetup scale="60" orientation="landscape" r:id="rId1"/>
  <colBreaks count="2" manualBreakCount="2">
    <brk id="13" max="8" man="1"/>
    <brk id="25" max="8" man="1"/>
  </colBreak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I48"/>
  <sheetViews>
    <sheetView zoomScaleNormal="100" workbookViewId="0">
      <pane xSplit="2" ySplit="5" topLeftCell="C6" activePane="bottomRight" state="frozen"/>
      <selection pane="topRight" activeCell="C1" sqref="C1"/>
      <selection pane="bottomLeft" activeCell="A6" sqref="A6"/>
      <selection pane="bottomRight" activeCell="B41" sqref="B41"/>
    </sheetView>
  </sheetViews>
  <sheetFormatPr defaultColWidth="9.140625" defaultRowHeight="15.75" x14ac:dyDescent="0.25"/>
  <cols>
    <col min="1" max="1" width="8.42578125" style="1" customWidth="1"/>
    <col min="2" max="2" width="27.140625" style="1" bestFit="1" customWidth="1"/>
    <col min="3" max="8" width="13.5703125" style="1" bestFit="1" customWidth="1"/>
    <col min="9" max="14" width="14" style="1" bestFit="1" customWidth="1"/>
    <col min="15" max="18" width="13.5703125" style="1" bestFit="1" customWidth="1"/>
    <col min="19" max="35" width="14.7109375" style="1" bestFit="1" customWidth="1"/>
    <col min="36" max="16384" width="9.140625" style="1"/>
  </cols>
  <sheetData>
    <row r="1" spans="1:35" s="29" customFormat="1" ht="18.75" x14ac:dyDescent="0.3">
      <c r="C1" s="130" t="s">
        <v>110</v>
      </c>
      <c r="D1" s="130"/>
      <c r="E1" s="130"/>
      <c r="F1" s="130"/>
      <c r="G1" s="130"/>
      <c r="H1" s="130"/>
      <c r="I1" s="130"/>
      <c r="J1" s="130"/>
      <c r="K1" s="130"/>
      <c r="L1" s="130"/>
      <c r="M1" s="130"/>
      <c r="N1" s="130"/>
      <c r="O1" s="130" t="str">
        <f>C1</f>
        <v>Company Name</v>
      </c>
      <c r="P1" s="130"/>
      <c r="Q1" s="130"/>
      <c r="R1" s="130"/>
      <c r="S1" s="130"/>
      <c r="T1" s="130"/>
      <c r="U1" s="130"/>
      <c r="V1" s="130"/>
      <c r="W1" s="130"/>
      <c r="X1" s="130"/>
      <c r="Y1" s="130"/>
      <c r="Z1" s="130"/>
      <c r="AA1" s="130" t="str">
        <f>O1</f>
        <v>Company Name</v>
      </c>
      <c r="AB1" s="130"/>
      <c r="AC1" s="130"/>
      <c r="AD1" s="130"/>
      <c r="AE1" s="130"/>
      <c r="AF1" s="130"/>
      <c r="AG1" s="130"/>
      <c r="AH1" s="130"/>
      <c r="AI1" s="130"/>
    </row>
    <row r="2" spans="1:35" s="29" customFormat="1" ht="18.75" x14ac:dyDescent="0.3">
      <c r="C2" s="118" t="s">
        <v>130</v>
      </c>
      <c r="D2" s="118"/>
      <c r="E2" s="118"/>
      <c r="F2" s="118"/>
      <c r="G2" s="118"/>
      <c r="H2" s="118"/>
      <c r="I2" s="118"/>
      <c r="J2" s="118"/>
      <c r="K2" s="118"/>
      <c r="L2" s="118"/>
      <c r="M2" s="118"/>
      <c r="N2" s="118"/>
      <c r="O2" s="118" t="s">
        <v>130</v>
      </c>
      <c r="P2" s="118"/>
      <c r="Q2" s="118"/>
      <c r="R2" s="118"/>
      <c r="S2" s="118"/>
      <c r="T2" s="118"/>
      <c r="U2" s="118"/>
      <c r="V2" s="118"/>
      <c r="W2" s="118"/>
      <c r="X2" s="118"/>
      <c r="Y2" s="118"/>
      <c r="Z2" s="118"/>
      <c r="AA2" s="118" t="s">
        <v>130</v>
      </c>
      <c r="AB2" s="118"/>
      <c r="AC2" s="118"/>
      <c r="AD2" s="118"/>
      <c r="AE2" s="118"/>
      <c r="AF2" s="118"/>
      <c r="AG2" s="118"/>
      <c r="AH2" s="118"/>
      <c r="AI2" s="118"/>
    </row>
    <row r="3" spans="1:35" s="29" customFormat="1" ht="18.75" x14ac:dyDescent="0.3"/>
    <row r="4" spans="1:35" s="78" customFormat="1" ht="18.75" x14ac:dyDescent="0.3">
      <c r="C4" s="130" t="s">
        <v>9</v>
      </c>
      <c r="D4" s="130"/>
      <c r="E4" s="130"/>
      <c r="F4" s="130"/>
      <c r="G4" s="130"/>
      <c r="H4" s="130"/>
      <c r="I4" s="130"/>
      <c r="J4" s="130"/>
      <c r="K4" s="130"/>
      <c r="L4" s="130"/>
      <c r="M4" s="130"/>
      <c r="N4" s="130"/>
      <c r="O4" s="130" t="s">
        <v>25</v>
      </c>
      <c r="P4" s="130"/>
      <c r="Q4" s="130"/>
      <c r="R4" s="130"/>
      <c r="S4" s="130"/>
      <c r="T4" s="130"/>
      <c r="U4" s="130"/>
      <c r="V4" s="130"/>
      <c r="W4" s="130"/>
      <c r="X4" s="130"/>
      <c r="Y4" s="130"/>
      <c r="Z4" s="130"/>
      <c r="AA4" s="130" t="s">
        <v>26</v>
      </c>
      <c r="AB4" s="130"/>
      <c r="AC4" s="130"/>
      <c r="AD4" s="130"/>
      <c r="AE4" s="131" t="s">
        <v>112</v>
      </c>
      <c r="AF4" s="130"/>
      <c r="AG4" s="130"/>
      <c r="AH4" s="132"/>
      <c r="AI4" s="79" t="s">
        <v>32</v>
      </c>
    </row>
    <row r="5" spans="1:35" s="32" customFormat="1" ht="18.75" x14ac:dyDescent="0.3">
      <c r="A5" s="31"/>
      <c r="B5" s="31"/>
      <c r="C5" s="28" t="s">
        <v>10</v>
      </c>
      <c r="D5" s="28" t="s">
        <v>11</v>
      </c>
      <c r="E5" s="28" t="s">
        <v>12</v>
      </c>
      <c r="F5" s="28" t="s">
        <v>13</v>
      </c>
      <c r="G5" s="28" t="s">
        <v>14</v>
      </c>
      <c r="H5" s="28" t="s">
        <v>15</v>
      </c>
      <c r="I5" s="28" t="s">
        <v>16</v>
      </c>
      <c r="J5" s="28" t="s">
        <v>17</v>
      </c>
      <c r="K5" s="28" t="s">
        <v>18</v>
      </c>
      <c r="L5" s="28" t="s">
        <v>19</v>
      </c>
      <c r="M5" s="28" t="s">
        <v>20</v>
      </c>
      <c r="N5" s="28" t="s">
        <v>21</v>
      </c>
      <c r="O5" s="28" t="s">
        <v>10</v>
      </c>
      <c r="P5" s="28" t="s">
        <v>11</v>
      </c>
      <c r="Q5" s="28" t="s">
        <v>12</v>
      </c>
      <c r="R5" s="28" t="s">
        <v>13</v>
      </c>
      <c r="S5" s="28" t="s">
        <v>14</v>
      </c>
      <c r="T5" s="28" t="s">
        <v>15</v>
      </c>
      <c r="U5" s="28" t="s">
        <v>16</v>
      </c>
      <c r="V5" s="28" t="s">
        <v>17</v>
      </c>
      <c r="W5" s="28" t="s">
        <v>18</v>
      </c>
      <c r="X5" s="28" t="s">
        <v>19</v>
      </c>
      <c r="Y5" s="28" t="s">
        <v>20</v>
      </c>
      <c r="Z5" s="28" t="s">
        <v>21</v>
      </c>
      <c r="AA5" s="28" t="s">
        <v>27</v>
      </c>
      <c r="AB5" s="28" t="s">
        <v>28</v>
      </c>
      <c r="AC5" s="28" t="s">
        <v>29</v>
      </c>
      <c r="AD5" s="28" t="s">
        <v>30</v>
      </c>
      <c r="AE5" s="53" t="s">
        <v>27</v>
      </c>
      <c r="AF5" s="28" t="s">
        <v>28</v>
      </c>
      <c r="AG5" s="28" t="s">
        <v>29</v>
      </c>
      <c r="AH5" s="67" t="s">
        <v>30</v>
      </c>
      <c r="AI5" s="28" t="s">
        <v>22</v>
      </c>
    </row>
    <row r="6" spans="1:35" ht="18.75" x14ac:dyDescent="0.25">
      <c r="A6" s="83" t="s">
        <v>76</v>
      </c>
      <c r="B6" s="31"/>
      <c r="AE6" s="89"/>
      <c r="AH6" s="94"/>
    </row>
    <row r="7" spans="1:35" ht="18.75" x14ac:dyDescent="0.25">
      <c r="A7" s="83" t="s">
        <v>131</v>
      </c>
      <c r="B7" s="31"/>
      <c r="AE7" s="89"/>
      <c r="AH7" s="94"/>
    </row>
    <row r="8" spans="1:35" x14ac:dyDescent="0.25">
      <c r="B8" s="1" t="s">
        <v>132</v>
      </c>
      <c r="C8" s="49">
        <f>'Cash Flow Statement'!B35</f>
        <v>543458</v>
      </c>
      <c r="D8" s="49">
        <f>'Cash Flow Statement'!C35</f>
        <v>505916</v>
      </c>
      <c r="E8" s="49">
        <f>'Cash Flow Statement'!D35</f>
        <v>468374</v>
      </c>
      <c r="F8" s="49">
        <f>'Cash Flow Statement'!E35</f>
        <v>430832</v>
      </c>
      <c r="G8" s="49">
        <f>'Cash Flow Statement'!F35</f>
        <v>393290</v>
      </c>
      <c r="H8" s="49">
        <f>'Cash Flow Statement'!G35</f>
        <v>355748</v>
      </c>
      <c r="I8" s="49">
        <f>'Cash Flow Statement'!H35</f>
        <v>319624</v>
      </c>
      <c r="J8" s="49">
        <f>'Cash Flow Statement'!I35</f>
        <v>289808</v>
      </c>
      <c r="K8" s="49">
        <f>'Cash Flow Statement'!J35</f>
        <v>261271</v>
      </c>
      <c r="L8" s="49">
        <f>'Cash Flow Statement'!K35</f>
        <v>236267.5</v>
      </c>
      <c r="M8" s="49">
        <f>'Cash Flow Statement'!L35</f>
        <v>214220.5</v>
      </c>
      <c r="N8" s="49">
        <f>'Cash Flow Statement'!M35</f>
        <v>193813.5</v>
      </c>
      <c r="O8" s="49">
        <f>'Cash Flow Statement'!O35</f>
        <v>169907.7</v>
      </c>
      <c r="P8" s="49">
        <f>'Cash Flow Statement'!P35</f>
        <v>151493.5</v>
      </c>
      <c r="Q8" s="49">
        <f>'Cash Flow Statement'!Q35</f>
        <v>136444.29999999999</v>
      </c>
      <c r="R8" s="49">
        <f>'Cash Flow Statement'!R35</f>
        <v>125185.9</v>
      </c>
      <c r="S8" s="49">
        <f>'Cash Flow Statement'!S35</f>
        <v>118192.09999999999</v>
      </c>
      <c r="T8" s="49">
        <f>'Cash Flow Statement'!T35</f>
        <v>115996.5</v>
      </c>
      <c r="U8" s="49">
        <f>'Cash Flow Statement'!U35</f>
        <v>119204.29999999999</v>
      </c>
      <c r="V8" s="49">
        <f>'Cash Flow Statement'!V35</f>
        <v>128488.09999999999</v>
      </c>
      <c r="W8" s="49">
        <f>'Cash Flow Statement'!W35</f>
        <v>144610.5</v>
      </c>
      <c r="X8" s="49">
        <f>'Cash Flow Statement'!X35</f>
        <v>168427.7</v>
      </c>
      <c r="Y8" s="49">
        <f>'Cash Flow Statement'!Y35</f>
        <v>200895.90000000002</v>
      </c>
      <c r="Z8" s="49">
        <f>'Cash Flow Statement'!Z35</f>
        <v>243094.50000000003</v>
      </c>
      <c r="AA8" s="49">
        <f>'Cash Flow Statement'!AB35</f>
        <v>444748.5</v>
      </c>
      <c r="AB8" s="49">
        <f>'Cash Flow Statement'!AC35</f>
        <v>698542.15</v>
      </c>
      <c r="AC8" s="49">
        <f>'Cash Flow Statement'!AD35</f>
        <v>974163.45</v>
      </c>
      <c r="AD8" s="49">
        <f>'Cash Flow Statement'!AE35</f>
        <v>1344819.75</v>
      </c>
      <c r="AE8" s="59">
        <f>'Cash Flow Statement'!AG35</f>
        <v>1839521.75</v>
      </c>
      <c r="AF8" s="49">
        <f>'Cash Flow Statement'!AH35</f>
        <v>2465904.75</v>
      </c>
      <c r="AG8" s="49">
        <f>'Cash Flow Statement'!AI35</f>
        <v>3203336.75</v>
      </c>
      <c r="AH8" s="73">
        <f>'Cash Flow Statement'!AJ35</f>
        <v>4068472.95</v>
      </c>
      <c r="AI8" s="49">
        <f>'Cash Flow Statement'!AL35</f>
        <v>8042927.3500000006</v>
      </c>
    </row>
    <row r="9" spans="1:35" x14ac:dyDescent="0.25">
      <c r="B9" s="1" t="s">
        <v>133</v>
      </c>
      <c r="C9" s="43">
        <f>ROUND('Balance Sheet Assumptions'!$B$5*'Income Statement'!B10,0)</f>
        <v>0</v>
      </c>
      <c r="D9" s="43">
        <f>ROUND('Balance Sheet Assumptions'!$B$5*'Income Statement'!C10,0)</f>
        <v>0</v>
      </c>
      <c r="E9" s="43">
        <f>ROUND('Balance Sheet Assumptions'!$B$5*'Income Statement'!D10,0)</f>
        <v>0</v>
      </c>
      <c r="F9" s="43">
        <f>ROUND('Balance Sheet Assumptions'!$B$5*'Income Statement'!E10,0)</f>
        <v>0</v>
      </c>
      <c r="G9" s="43">
        <f>ROUND('Balance Sheet Assumptions'!$B$5*'Income Statement'!F10,0)</f>
        <v>0</v>
      </c>
      <c r="H9" s="43">
        <f>ROUND('Balance Sheet Assumptions'!$B$5*'Income Statement'!G10,0)</f>
        <v>0</v>
      </c>
      <c r="I9" s="43">
        <f>ROUND('Balance Sheet Assumptions'!$B$5*'Income Statement'!H10,0)</f>
        <v>12050</v>
      </c>
      <c r="J9" s="43">
        <f>ROUND('Balance Sheet Assumptions'!$B$5*'Income Statement'!I10,0)</f>
        <v>12575</v>
      </c>
      <c r="K9" s="43">
        <f>ROUND('Balance Sheet Assumptions'!$B$5*'Income Statement'!J10,0)</f>
        <v>16500</v>
      </c>
      <c r="L9" s="43">
        <f>ROUND('Balance Sheet Assumptions'!$B$5*'Income Statement'!K10,0)</f>
        <v>19650</v>
      </c>
      <c r="M9" s="43">
        <f>ROUND('Balance Sheet Assumptions'!$B$5*'Income Statement'!L10,0)</f>
        <v>20700</v>
      </c>
      <c r="N9" s="43">
        <f>ROUND('Balance Sheet Assumptions'!$B$5*'Income Statement'!M10,0)</f>
        <v>24500</v>
      </c>
      <c r="O9" s="43">
        <f>ROUND('Balance Sheet Assumptions'!$B$5*'Income Statement'!O10,0)</f>
        <v>27570</v>
      </c>
      <c r="P9" s="43">
        <f>ROUND('Balance Sheet Assumptions'!$B$5*'Income Statement'!P10,0)</f>
        <v>31011</v>
      </c>
      <c r="Q9" s="43">
        <f>ROUND('Balance Sheet Assumptions'!$B$5*'Income Statement'!Q10,0)</f>
        <v>34887</v>
      </c>
      <c r="R9" s="43">
        <f>ROUND('Balance Sheet Assumptions'!$B$5*'Income Statement'!R10,0)</f>
        <v>39248</v>
      </c>
      <c r="S9" s="43">
        <f>ROUND('Balance Sheet Assumptions'!$B$5*'Income Statement'!S10,0)</f>
        <v>44153</v>
      </c>
      <c r="T9" s="43">
        <f>ROUND('Balance Sheet Assumptions'!$B$5*'Income Statement'!T10,0)</f>
        <v>49678</v>
      </c>
      <c r="U9" s="43">
        <f>ROUND('Balance Sheet Assumptions'!$B$5*'Income Statement'!U10,0)</f>
        <v>55890</v>
      </c>
      <c r="V9" s="43">
        <f>ROUND('Balance Sheet Assumptions'!$B$5*'Income Statement'!V10,0)</f>
        <v>62880</v>
      </c>
      <c r="W9" s="43">
        <f>ROUND('Balance Sheet Assumptions'!$B$5*'Income Statement'!W10,0)</f>
        <v>70746</v>
      </c>
      <c r="X9" s="43">
        <f>ROUND('Balance Sheet Assumptions'!$B$5*'Income Statement'!X10,0)</f>
        <v>79592</v>
      </c>
      <c r="Y9" s="43">
        <f>ROUND('Balance Sheet Assumptions'!$B$5*'Income Statement'!Y10,0)</f>
        <v>89539</v>
      </c>
      <c r="Z9" s="43">
        <f>ROUND('Balance Sheet Assumptions'!$B$5*'Income Statement'!Z10,0)</f>
        <v>100737</v>
      </c>
      <c r="AA9" s="43">
        <f>ROUND((('Balance Sheet Assumptions'!$B$5*'Income Statement'!AB10)/3),0)</f>
        <v>122771</v>
      </c>
      <c r="AB9" s="43">
        <f>ROUND((('Balance Sheet Assumptions'!$B$5*'Income Statement'!AC10)/3),0)</f>
        <v>153464</v>
      </c>
      <c r="AC9" s="43">
        <f>ROUND((('Balance Sheet Assumptions'!$B$5*'Income Statement'!AD10)/3),0)</f>
        <v>191833</v>
      </c>
      <c r="AD9" s="43">
        <f>ROUND((('Balance Sheet Assumptions'!$B$5*'Income Statement'!AE10)/3),0)</f>
        <v>239792</v>
      </c>
      <c r="AE9" s="55">
        <f>ROUND((('Balance Sheet Assumptions'!$B$5*'Income Statement'!AG10)/3),0)</f>
        <v>298957</v>
      </c>
      <c r="AF9" s="43">
        <f>ROUND((('Balance Sheet Assumptions'!$B$5*'Income Statement'!AH10)/3),0)</f>
        <v>343802</v>
      </c>
      <c r="AG9" s="43">
        <f>ROUND((('Balance Sheet Assumptions'!$B$5*'Income Statement'!AI10)/3),0)</f>
        <v>395371</v>
      </c>
      <c r="AH9" s="69">
        <f>ROUND((('Balance Sheet Assumptions'!$B$5*'Income Statement'!AJ10)/3),0)</f>
        <v>454678</v>
      </c>
      <c r="AI9" s="43">
        <f>ROUND((('Balance Sheet Assumptions'!$B$5*'Income Statement'!AL10)/12),0)</f>
        <v>503985</v>
      </c>
    </row>
    <row r="10" spans="1:35" x14ac:dyDescent="0.25">
      <c r="B10" s="1" t="s">
        <v>134</v>
      </c>
      <c r="C10" s="43">
        <f>ROUND('Balance Sheet Assumptions'!$B$7*'Income Statement'!B31,0)</f>
        <v>0</v>
      </c>
      <c r="D10" s="43">
        <f>ROUND('Balance Sheet Assumptions'!$B$7*'Income Statement'!C31,0)</f>
        <v>0</v>
      </c>
      <c r="E10" s="43">
        <f>ROUND('Balance Sheet Assumptions'!$B$7*'Income Statement'!D31,0)</f>
        <v>0</v>
      </c>
      <c r="F10" s="43">
        <f>ROUND('Balance Sheet Assumptions'!$B$7*'Income Statement'!E31,0)</f>
        <v>0</v>
      </c>
      <c r="G10" s="43">
        <f>ROUND('Balance Sheet Assumptions'!$B$7*'Income Statement'!F31,0)</f>
        <v>0</v>
      </c>
      <c r="H10" s="43">
        <f>ROUND('Balance Sheet Assumptions'!$B$7*'Income Statement'!G31,0)</f>
        <v>0</v>
      </c>
      <c r="I10" s="43">
        <f>ROUND('Balance Sheet Assumptions'!$B$7*'Income Statement'!H31,0)</f>
        <v>5316</v>
      </c>
      <c r="J10" s="43">
        <f>ROUND('Balance Sheet Assumptions'!$B$7*'Income Statement'!I31,0)</f>
        <v>5454</v>
      </c>
      <c r="K10" s="43">
        <f>ROUND('Balance Sheet Assumptions'!$B$7*'Income Statement'!J31,0)</f>
        <v>7005</v>
      </c>
      <c r="L10" s="43">
        <f>ROUND('Balance Sheet Assumptions'!$B$7*'Income Statement'!K31,0)</f>
        <v>8388</v>
      </c>
      <c r="M10" s="43">
        <f>ROUND('Balance Sheet Assumptions'!$B$7*'Income Statement'!L31,0)</f>
        <v>8664</v>
      </c>
      <c r="N10" s="43">
        <f>ROUND('Balance Sheet Assumptions'!$B$7*'Income Statement'!M31,0)</f>
        <v>10200</v>
      </c>
      <c r="O10" s="43">
        <f>ROUND('Balance Sheet Assumptions'!$B$7*'Income Statement'!O31,0)</f>
        <v>11499</v>
      </c>
      <c r="P10" s="43">
        <f>ROUND('Balance Sheet Assumptions'!$B$7*'Income Statement'!P31,0)</f>
        <v>12934</v>
      </c>
      <c r="Q10" s="43">
        <f>ROUND('Balance Sheet Assumptions'!$B$7*'Income Statement'!Q31,0)</f>
        <v>14551</v>
      </c>
      <c r="R10" s="43">
        <f>ROUND('Balance Sheet Assumptions'!$B$7*'Income Statement'!R31,0)</f>
        <v>16370</v>
      </c>
      <c r="S10" s="43">
        <f>ROUND('Balance Sheet Assumptions'!$B$7*'Income Statement'!S31,0)</f>
        <v>18416</v>
      </c>
      <c r="T10" s="43">
        <f>ROUND('Balance Sheet Assumptions'!$B$7*'Income Statement'!T31,0)</f>
        <v>20720</v>
      </c>
      <c r="U10" s="43">
        <f>ROUND('Balance Sheet Assumptions'!$B$7*'Income Statement'!U31,0)</f>
        <v>23311</v>
      </c>
      <c r="V10" s="43">
        <f>ROUND('Balance Sheet Assumptions'!$B$7*'Income Statement'!V31,0)</f>
        <v>26226</v>
      </c>
      <c r="W10" s="43">
        <f>ROUND('Balance Sheet Assumptions'!$B$7*'Income Statement'!W31,0)</f>
        <v>29506</v>
      </c>
      <c r="X10" s="43">
        <f>ROUND('Balance Sheet Assumptions'!$B$7*'Income Statement'!X31,0)</f>
        <v>33195</v>
      </c>
      <c r="Y10" s="43">
        <f>ROUND('Balance Sheet Assumptions'!$B$7*'Income Statement'!Y31,0)</f>
        <v>37344</v>
      </c>
      <c r="Z10" s="43">
        <f>ROUND('Balance Sheet Assumptions'!$B$7*'Income Statement'!Z31,0)</f>
        <v>42014</v>
      </c>
      <c r="AA10" s="43">
        <f>ROUND(('Balance Sheet Assumptions'!$B$7*'Income Statement'!AB31)/3,0)</f>
        <v>48117</v>
      </c>
      <c r="AB10" s="43">
        <f>ROUND(('Balance Sheet Assumptions'!$B$7*'Income Statement'!AC31)/3,0)</f>
        <v>60146</v>
      </c>
      <c r="AC10" s="43">
        <f>ROUND(('Balance Sheet Assumptions'!$B$7*'Income Statement'!AD31)/3,0)</f>
        <v>75183</v>
      </c>
      <c r="AD10" s="43">
        <f>ROUND(('Balance Sheet Assumptions'!$B$7*'Income Statement'!AE31)/3,0)</f>
        <v>93980</v>
      </c>
      <c r="AE10" s="55">
        <f>ROUND(('Balance Sheet Assumptions'!$B$7*'Income Statement'!AG31)/3,0)</f>
        <v>110492</v>
      </c>
      <c r="AF10" s="43">
        <f>ROUND(('Balance Sheet Assumptions'!$B$7*'Income Statement'!AH31)/3,0)</f>
        <v>127067</v>
      </c>
      <c r="AG10" s="43">
        <f>ROUND(('Balance Sheet Assumptions'!$B$7*'Income Statement'!AI31)/3,0)</f>
        <v>146126</v>
      </c>
      <c r="AH10" s="69">
        <f>ROUND(('Balance Sheet Assumptions'!$B$7*'Income Statement'!AJ31)/3,0)</f>
        <v>168045</v>
      </c>
      <c r="AI10" s="43">
        <f>ROUND(('Balance Sheet Assumptions'!$B$7*'Income Statement'!AL31)/12,0)</f>
        <v>186431</v>
      </c>
    </row>
    <row r="11" spans="1:35" x14ac:dyDescent="0.25">
      <c r="B11" s="1" t="s">
        <v>135</v>
      </c>
      <c r="C11" s="44">
        <v>0</v>
      </c>
      <c r="D11" s="44">
        <v>0</v>
      </c>
      <c r="E11" s="44">
        <v>0</v>
      </c>
      <c r="F11" s="44">
        <v>0</v>
      </c>
      <c r="G11" s="44">
        <v>0</v>
      </c>
      <c r="H11" s="44">
        <v>0</v>
      </c>
      <c r="I11" s="44">
        <v>0</v>
      </c>
      <c r="J11" s="44">
        <v>0</v>
      </c>
      <c r="K11" s="44">
        <v>0</v>
      </c>
      <c r="L11" s="44">
        <v>0</v>
      </c>
      <c r="M11" s="44">
        <v>0</v>
      </c>
      <c r="N11" s="44">
        <v>0</v>
      </c>
      <c r="O11" s="44">
        <v>0</v>
      </c>
      <c r="P11" s="44">
        <v>0</v>
      </c>
      <c r="Q11" s="44">
        <v>0</v>
      </c>
      <c r="R11" s="44">
        <v>0</v>
      </c>
      <c r="S11" s="44">
        <v>0</v>
      </c>
      <c r="T11" s="44">
        <v>0</v>
      </c>
      <c r="U11" s="44">
        <v>0</v>
      </c>
      <c r="V11" s="44">
        <v>0</v>
      </c>
      <c r="W11" s="44">
        <v>0</v>
      </c>
      <c r="X11" s="44">
        <v>0</v>
      </c>
      <c r="Y11" s="44">
        <v>0</v>
      </c>
      <c r="Z11" s="44">
        <v>0</v>
      </c>
      <c r="AA11" s="44">
        <v>0</v>
      </c>
      <c r="AB11" s="44">
        <v>0</v>
      </c>
      <c r="AC11" s="44">
        <v>0</v>
      </c>
      <c r="AD11" s="44">
        <v>0</v>
      </c>
      <c r="AE11" s="56">
        <v>0</v>
      </c>
      <c r="AF11" s="44">
        <v>0</v>
      </c>
      <c r="AG11" s="44">
        <v>0</v>
      </c>
      <c r="AH11" s="70">
        <v>0</v>
      </c>
      <c r="AI11" s="44">
        <v>0</v>
      </c>
    </row>
    <row r="12" spans="1:35" s="11" customFormat="1" x14ac:dyDescent="0.25">
      <c r="A12" s="11" t="s">
        <v>136</v>
      </c>
      <c r="C12" s="48">
        <f>SUM(C8:C11)</f>
        <v>543458</v>
      </c>
      <c r="D12" s="48">
        <f t="shared" ref="D12:N12" si="0">SUM(D8:D11)</f>
        <v>505916</v>
      </c>
      <c r="E12" s="48">
        <f t="shared" si="0"/>
        <v>468374</v>
      </c>
      <c r="F12" s="48">
        <f t="shared" si="0"/>
        <v>430832</v>
      </c>
      <c r="G12" s="48">
        <f t="shared" si="0"/>
        <v>393290</v>
      </c>
      <c r="H12" s="48">
        <f t="shared" si="0"/>
        <v>355748</v>
      </c>
      <c r="I12" s="48">
        <f t="shared" si="0"/>
        <v>336990</v>
      </c>
      <c r="J12" s="48">
        <f t="shared" si="0"/>
        <v>307837</v>
      </c>
      <c r="K12" s="48">
        <f t="shared" si="0"/>
        <v>284776</v>
      </c>
      <c r="L12" s="48">
        <f t="shared" si="0"/>
        <v>264305.5</v>
      </c>
      <c r="M12" s="48">
        <f t="shared" si="0"/>
        <v>243584.5</v>
      </c>
      <c r="N12" s="48">
        <f t="shared" si="0"/>
        <v>228513.5</v>
      </c>
      <c r="O12" s="48">
        <f t="shared" ref="O12" si="1">SUM(O8:O11)</f>
        <v>208976.7</v>
      </c>
      <c r="P12" s="48">
        <f t="shared" ref="P12" si="2">SUM(P8:P11)</f>
        <v>195438.5</v>
      </c>
      <c r="Q12" s="48">
        <f t="shared" ref="Q12" si="3">SUM(Q8:Q11)</f>
        <v>185882.3</v>
      </c>
      <c r="R12" s="48">
        <f t="shared" ref="R12" si="4">SUM(R8:R11)</f>
        <v>180803.9</v>
      </c>
      <c r="S12" s="48">
        <f t="shared" ref="S12" si="5">SUM(S8:S11)</f>
        <v>180761.09999999998</v>
      </c>
      <c r="T12" s="48">
        <f t="shared" ref="T12" si="6">SUM(T8:T11)</f>
        <v>186394.5</v>
      </c>
      <c r="U12" s="48">
        <f t="shared" ref="U12" si="7">SUM(U8:U11)</f>
        <v>198405.3</v>
      </c>
      <c r="V12" s="48">
        <f t="shared" ref="V12" si="8">SUM(V8:V11)</f>
        <v>217594.09999999998</v>
      </c>
      <c r="W12" s="48">
        <f t="shared" ref="W12" si="9">SUM(W8:W11)</f>
        <v>244862.5</v>
      </c>
      <c r="X12" s="48">
        <f t="shared" ref="X12" si="10">SUM(X8:X11)</f>
        <v>281214.7</v>
      </c>
      <c r="Y12" s="48">
        <f t="shared" ref="Y12" si="11">SUM(Y8:Y11)</f>
        <v>327778.90000000002</v>
      </c>
      <c r="Z12" s="48">
        <f t="shared" ref="Z12" si="12">SUM(Z8:Z11)</f>
        <v>385845.5</v>
      </c>
      <c r="AA12" s="48">
        <f t="shared" ref="AA12" si="13">SUM(AA8:AA11)</f>
        <v>615636.5</v>
      </c>
      <c r="AB12" s="48">
        <f t="shared" ref="AB12" si="14">SUM(AB8:AB11)</f>
        <v>912152.15</v>
      </c>
      <c r="AC12" s="48">
        <f t="shared" ref="AC12" si="15">SUM(AC8:AC11)</f>
        <v>1241179.45</v>
      </c>
      <c r="AD12" s="48">
        <f t="shared" ref="AD12" si="16">SUM(AD8:AD11)</f>
        <v>1678591.75</v>
      </c>
      <c r="AE12" s="57">
        <f t="shared" ref="AE12" si="17">SUM(AE8:AE11)</f>
        <v>2248970.75</v>
      </c>
      <c r="AF12" s="48">
        <f t="shared" ref="AF12" si="18">SUM(AF8:AF11)</f>
        <v>2936773.75</v>
      </c>
      <c r="AG12" s="48">
        <f t="shared" ref="AG12" si="19">SUM(AG8:AG11)</f>
        <v>3744833.75</v>
      </c>
      <c r="AH12" s="71">
        <f t="shared" ref="AH12" si="20">SUM(AH8:AH11)</f>
        <v>4691195.95</v>
      </c>
      <c r="AI12" s="48">
        <f t="shared" ref="AI12" si="21">SUM(AI8:AI11)</f>
        <v>8733343.3500000015</v>
      </c>
    </row>
    <row r="13" spans="1:35" x14ac:dyDescent="0.25">
      <c r="AE13" s="89"/>
      <c r="AH13" s="94"/>
    </row>
    <row r="14" spans="1:35" ht="18.75" x14ac:dyDescent="0.25">
      <c r="A14" s="83" t="s">
        <v>137</v>
      </c>
      <c r="B14" s="31"/>
      <c r="AE14" s="89"/>
      <c r="AH14" s="94"/>
    </row>
    <row r="15" spans="1:35" x14ac:dyDescent="0.25">
      <c r="B15" s="1" t="s">
        <v>138</v>
      </c>
      <c r="C15" s="38">
        <f>'Fixed Asset Assumptions'!B25</f>
        <v>49000</v>
      </c>
      <c r="D15" s="38">
        <f>C15</f>
        <v>49000</v>
      </c>
      <c r="E15" s="38">
        <f t="shared" ref="E15:N15" si="22">D15</f>
        <v>49000</v>
      </c>
      <c r="F15" s="38">
        <f t="shared" si="22"/>
        <v>49000</v>
      </c>
      <c r="G15" s="38">
        <f t="shared" si="22"/>
        <v>49000</v>
      </c>
      <c r="H15" s="38">
        <f t="shared" si="22"/>
        <v>49000</v>
      </c>
      <c r="I15" s="38">
        <f t="shared" si="22"/>
        <v>49000</v>
      </c>
      <c r="J15" s="38">
        <f t="shared" si="22"/>
        <v>49000</v>
      </c>
      <c r="K15" s="38">
        <f t="shared" si="22"/>
        <v>49000</v>
      </c>
      <c r="L15" s="38">
        <f t="shared" si="22"/>
        <v>49000</v>
      </c>
      <c r="M15" s="38">
        <f t="shared" si="22"/>
        <v>49000</v>
      </c>
      <c r="N15" s="38">
        <f t="shared" si="22"/>
        <v>49000</v>
      </c>
      <c r="O15" s="38">
        <f>'Fixed Asset Assumptions'!C25</f>
        <v>51500</v>
      </c>
      <c r="P15" s="38">
        <f>O15</f>
        <v>51500</v>
      </c>
      <c r="Q15" s="38">
        <f>P15</f>
        <v>51500</v>
      </c>
      <c r="R15" s="38">
        <f t="shared" ref="R15:Z15" si="23">Q15</f>
        <v>51500</v>
      </c>
      <c r="S15" s="38">
        <f t="shared" si="23"/>
        <v>51500</v>
      </c>
      <c r="T15" s="38">
        <f t="shared" si="23"/>
        <v>51500</v>
      </c>
      <c r="U15" s="38">
        <f t="shared" si="23"/>
        <v>51500</v>
      </c>
      <c r="V15" s="38">
        <f t="shared" si="23"/>
        <v>51500</v>
      </c>
      <c r="W15" s="38">
        <f t="shared" si="23"/>
        <v>51500</v>
      </c>
      <c r="X15" s="38">
        <f t="shared" si="23"/>
        <v>51500</v>
      </c>
      <c r="Y15" s="38">
        <f t="shared" si="23"/>
        <v>51500</v>
      </c>
      <c r="Z15" s="38">
        <f t="shared" si="23"/>
        <v>51500</v>
      </c>
      <c r="AA15" s="38">
        <f>'Fixed Asset Assumptions'!D25</f>
        <v>56000</v>
      </c>
      <c r="AB15" s="38">
        <f>AA15</f>
        <v>56000</v>
      </c>
      <c r="AC15" s="38">
        <f t="shared" ref="AC15:AD15" si="24">AB15</f>
        <v>56000</v>
      </c>
      <c r="AD15" s="38">
        <f t="shared" si="24"/>
        <v>56000</v>
      </c>
      <c r="AE15" s="54">
        <f>'Fixed Asset Assumptions'!E25</f>
        <v>72000</v>
      </c>
      <c r="AF15" s="38">
        <f>AE15</f>
        <v>72000</v>
      </c>
      <c r="AG15" s="38">
        <f t="shared" ref="AG15:AH15" si="25">AF15</f>
        <v>72000</v>
      </c>
      <c r="AH15" s="68">
        <f t="shared" si="25"/>
        <v>72000</v>
      </c>
      <c r="AI15" s="38">
        <f>'Fixed Asset Assumptions'!F25</f>
        <v>76500</v>
      </c>
    </row>
    <row r="16" spans="1:35" x14ac:dyDescent="0.25">
      <c r="B16" s="1" t="s">
        <v>139</v>
      </c>
      <c r="C16" s="44">
        <f>'Income Statement'!B43</f>
        <v>817</v>
      </c>
      <c r="D16" s="44">
        <f>C16+'Income Statement'!C43</f>
        <v>1634</v>
      </c>
      <c r="E16" s="44">
        <f>D16+'Income Statement'!D43</f>
        <v>2451</v>
      </c>
      <c r="F16" s="44">
        <f>E16+'Income Statement'!E43</f>
        <v>3268</v>
      </c>
      <c r="G16" s="44">
        <f>F16+'Income Statement'!F43</f>
        <v>4085</v>
      </c>
      <c r="H16" s="44">
        <f>G16+'Income Statement'!G43</f>
        <v>4902</v>
      </c>
      <c r="I16" s="44">
        <f>H16+'Income Statement'!H43</f>
        <v>5719</v>
      </c>
      <c r="J16" s="44">
        <f>I16+'Income Statement'!I43</f>
        <v>6536</v>
      </c>
      <c r="K16" s="44">
        <f>J16+'Income Statement'!J43</f>
        <v>7353</v>
      </c>
      <c r="L16" s="44">
        <f>K16+'Income Statement'!K43</f>
        <v>8170</v>
      </c>
      <c r="M16" s="44">
        <f>L16+'Income Statement'!L43</f>
        <v>8987</v>
      </c>
      <c r="N16" s="44">
        <f>M16+'Income Statement'!M43</f>
        <v>9804</v>
      </c>
      <c r="O16" s="44">
        <f>N16+'Income Statement'!O43</f>
        <v>10662</v>
      </c>
      <c r="P16" s="44">
        <f>O16+'Income Statement'!P43</f>
        <v>11520</v>
      </c>
      <c r="Q16" s="44">
        <f>P16+'Income Statement'!Q43</f>
        <v>12378</v>
      </c>
      <c r="R16" s="44">
        <f>Q16+'Income Statement'!R43</f>
        <v>13236</v>
      </c>
      <c r="S16" s="44">
        <f>R16+'Income Statement'!S43</f>
        <v>14094</v>
      </c>
      <c r="T16" s="44">
        <f>S16+'Income Statement'!T43</f>
        <v>14952</v>
      </c>
      <c r="U16" s="44">
        <f>T16+'Income Statement'!U43</f>
        <v>15810</v>
      </c>
      <c r="V16" s="44">
        <f>U16+'Income Statement'!V43</f>
        <v>16668</v>
      </c>
      <c r="W16" s="44">
        <f>V16+'Income Statement'!W43</f>
        <v>17526</v>
      </c>
      <c r="X16" s="44">
        <f>W16+'Income Statement'!X43</f>
        <v>18384</v>
      </c>
      <c r="Y16" s="44">
        <f>X16+'Income Statement'!Y43</f>
        <v>19242</v>
      </c>
      <c r="Z16" s="44">
        <f>Y16+'Income Statement'!Z43</f>
        <v>20100</v>
      </c>
      <c r="AA16" s="44">
        <f>Z16+'Income Statement'!AB43</f>
        <v>22900</v>
      </c>
      <c r="AB16" s="44">
        <f>AA16+'Income Statement'!AC43</f>
        <v>25700</v>
      </c>
      <c r="AC16" s="44">
        <f>AB16+'Income Statement'!AD43</f>
        <v>28500</v>
      </c>
      <c r="AD16" s="44">
        <f>AC16+'Income Statement'!AE43</f>
        <v>31300</v>
      </c>
      <c r="AE16" s="56">
        <f>AD16+'Income Statement'!AG43</f>
        <v>34900</v>
      </c>
      <c r="AF16" s="44">
        <f>AE16+'Income Statement'!AH43</f>
        <v>38500</v>
      </c>
      <c r="AG16" s="44">
        <f>AF16+'Income Statement'!AI43</f>
        <v>42100</v>
      </c>
      <c r="AH16" s="70">
        <f>AG16+'Income Statement'!AJ43</f>
        <v>45700</v>
      </c>
      <c r="AI16" s="44">
        <f>AH16+'Income Statement'!AL43</f>
        <v>61000</v>
      </c>
    </row>
    <row r="17" spans="1:35" x14ac:dyDescent="0.25">
      <c r="B17" s="1" t="s">
        <v>140</v>
      </c>
      <c r="C17" s="38">
        <f>C15-C16</f>
        <v>48183</v>
      </c>
      <c r="D17" s="38">
        <f t="shared" ref="D17:N17" si="26">D15-D16</f>
        <v>47366</v>
      </c>
      <c r="E17" s="38">
        <f t="shared" si="26"/>
        <v>46549</v>
      </c>
      <c r="F17" s="38">
        <f t="shared" si="26"/>
        <v>45732</v>
      </c>
      <c r="G17" s="38">
        <f t="shared" si="26"/>
        <v>44915</v>
      </c>
      <c r="H17" s="38">
        <f t="shared" si="26"/>
        <v>44098</v>
      </c>
      <c r="I17" s="38">
        <f t="shared" si="26"/>
        <v>43281</v>
      </c>
      <c r="J17" s="38">
        <f t="shared" si="26"/>
        <v>42464</v>
      </c>
      <c r="K17" s="38">
        <f t="shared" si="26"/>
        <v>41647</v>
      </c>
      <c r="L17" s="38">
        <f t="shared" si="26"/>
        <v>40830</v>
      </c>
      <c r="M17" s="38">
        <f t="shared" si="26"/>
        <v>40013</v>
      </c>
      <c r="N17" s="38">
        <f t="shared" si="26"/>
        <v>39196</v>
      </c>
      <c r="O17" s="38">
        <f t="shared" ref="O17" si="27">O15-O16</f>
        <v>40838</v>
      </c>
      <c r="P17" s="38">
        <f t="shared" ref="P17" si="28">P15-P16</f>
        <v>39980</v>
      </c>
      <c r="Q17" s="38">
        <f t="shared" ref="Q17" si="29">Q15-Q16</f>
        <v>39122</v>
      </c>
      <c r="R17" s="38">
        <f t="shared" ref="R17" si="30">R15-R16</f>
        <v>38264</v>
      </c>
      <c r="S17" s="38">
        <f t="shared" ref="S17" si="31">S15-S16</f>
        <v>37406</v>
      </c>
      <c r="T17" s="38">
        <f t="shared" ref="T17" si="32">T15-T16</f>
        <v>36548</v>
      </c>
      <c r="U17" s="38">
        <f t="shared" ref="U17" si="33">U15-U16</f>
        <v>35690</v>
      </c>
      <c r="V17" s="38">
        <f t="shared" ref="V17" si="34">V15-V16</f>
        <v>34832</v>
      </c>
      <c r="W17" s="38">
        <f t="shared" ref="W17" si="35">W15-W16</f>
        <v>33974</v>
      </c>
      <c r="X17" s="38">
        <f t="shared" ref="X17" si="36">X15-X16</f>
        <v>33116</v>
      </c>
      <c r="Y17" s="38">
        <f t="shared" ref="Y17" si="37">Y15-Y16</f>
        <v>32258</v>
      </c>
      <c r="Z17" s="38">
        <f t="shared" ref="Z17" si="38">Z15-Z16</f>
        <v>31400</v>
      </c>
      <c r="AA17" s="38">
        <f t="shared" ref="AA17" si="39">AA15-AA16</f>
        <v>33100</v>
      </c>
      <c r="AB17" s="38">
        <f t="shared" ref="AB17" si="40">AB15-AB16</f>
        <v>30300</v>
      </c>
      <c r="AC17" s="38">
        <f t="shared" ref="AC17" si="41">AC15-AC16</f>
        <v>27500</v>
      </c>
      <c r="AD17" s="38">
        <f t="shared" ref="AD17" si="42">AD15-AD16</f>
        <v>24700</v>
      </c>
      <c r="AE17" s="54">
        <f t="shared" ref="AE17" si="43">AE15-AE16</f>
        <v>37100</v>
      </c>
      <c r="AF17" s="38">
        <f t="shared" ref="AF17" si="44">AF15-AF16</f>
        <v>33500</v>
      </c>
      <c r="AG17" s="38">
        <f t="shared" ref="AG17" si="45">AG15-AG16</f>
        <v>29900</v>
      </c>
      <c r="AH17" s="68">
        <f t="shared" ref="AH17" si="46">AH15-AH16</f>
        <v>26300</v>
      </c>
      <c r="AI17" s="38">
        <f t="shared" ref="AI17" si="47">AI15-AI16</f>
        <v>15500</v>
      </c>
    </row>
    <row r="18" spans="1:35" x14ac:dyDescent="0.25">
      <c r="AE18" s="89"/>
      <c r="AH18" s="94"/>
    </row>
    <row r="19" spans="1:35" x14ac:dyDescent="0.25">
      <c r="B19" s="1" t="s">
        <v>141</v>
      </c>
      <c r="C19" s="38">
        <f>'Fixed Asset Assumptions'!B43</f>
        <v>20000</v>
      </c>
      <c r="D19" s="38">
        <f>C19</f>
        <v>20000</v>
      </c>
      <c r="E19" s="38">
        <f t="shared" ref="E19:N19" si="48">D19</f>
        <v>20000</v>
      </c>
      <c r="F19" s="38">
        <f t="shared" si="48"/>
        <v>20000</v>
      </c>
      <c r="G19" s="38">
        <f t="shared" si="48"/>
        <v>20000</v>
      </c>
      <c r="H19" s="38">
        <f t="shared" si="48"/>
        <v>20000</v>
      </c>
      <c r="I19" s="38">
        <f t="shared" si="48"/>
        <v>20000</v>
      </c>
      <c r="J19" s="38">
        <f t="shared" si="48"/>
        <v>20000</v>
      </c>
      <c r="K19" s="38">
        <f t="shared" si="48"/>
        <v>20000</v>
      </c>
      <c r="L19" s="38">
        <f t="shared" si="48"/>
        <v>20000</v>
      </c>
      <c r="M19" s="38">
        <f t="shared" si="48"/>
        <v>20000</v>
      </c>
      <c r="N19" s="38">
        <f t="shared" si="48"/>
        <v>20000</v>
      </c>
      <c r="O19" s="38">
        <f>'Fixed Asset Assumptions'!C43</f>
        <v>20000</v>
      </c>
      <c r="P19" s="38">
        <f>O19</f>
        <v>20000</v>
      </c>
      <c r="Q19" s="38">
        <f t="shared" ref="Q19:Z19" si="49">P19</f>
        <v>20000</v>
      </c>
      <c r="R19" s="38">
        <f t="shared" si="49"/>
        <v>20000</v>
      </c>
      <c r="S19" s="38">
        <f t="shared" si="49"/>
        <v>20000</v>
      </c>
      <c r="T19" s="38">
        <f t="shared" si="49"/>
        <v>20000</v>
      </c>
      <c r="U19" s="38">
        <f t="shared" si="49"/>
        <v>20000</v>
      </c>
      <c r="V19" s="38">
        <f t="shared" si="49"/>
        <v>20000</v>
      </c>
      <c r="W19" s="38">
        <f t="shared" si="49"/>
        <v>20000</v>
      </c>
      <c r="X19" s="38">
        <f t="shared" si="49"/>
        <v>20000</v>
      </c>
      <c r="Y19" s="38">
        <f t="shared" si="49"/>
        <v>20000</v>
      </c>
      <c r="Z19" s="38">
        <f t="shared" si="49"/>
        <v>20000</v>
      </c>
      <c r="AA19" s="38">
        <f>'Fixed Asset Assumptions'!D43</f>
        <v>20000</v>
      </c>
      <c r="AB19" s="38">
        <f>AA19</f>
        <v>20000</v>
      </c>
      <c r="AC19" s="38">
        <f t="shared" ref="AC19:AD19" si="50">AB19</f>
        <v>20000</v>
      </c>
      <c r="AD19" s="38">
        <f t="shared" si="50"/>
        <v>20000</v>
      </c>
      <c r="AE19" s="54">
        <f>'Fixed Asset Assumptions'!E43</f>
        <v>20000</v>
      </c>
      <c r="AF19" s="38">
        <f>AE19</f>
        <v>20000</v>
      </c>
      <c r="AG19" s="38">
        <f t="shared" ref="AG19:AH19" si="51">AF19</f>
        <v>20000</v>
      </c>
      <c r="AH19" s="68">
        <f t="shared" si="51"/>
        <v>20000</v>
      </c>
      <c r="AI19" s="38">
        <f>'Fixed Asset Assumptions'!F43</f>
        <v>20000</v>
      </c>
    </row>
    <row r="20" spans="1:35" x14ac:dyDescent="0.25">
      <c r="B20" s="1" t="s">
        <v>142</v>
      </c>
      <c r="C20" s="44">
        <f>'Income Statement'!B44</f>
        <v>83</v>
      </c>
      <c r="D20" s="44">
        <f>C20+'Income Statement'!C44</f>
        <v>166</v>
      </c>
      <c r="E20" s="44">
        <f>D20+'Income Statement'!D44</f>
        <v>249</v>
      </c>
      <c r="F20" s="44">
        <f>E20+'Income Statement'!E44</f>
        <v>332</v>
      </c>
      <c r="G20" s="44">
        <f>F20+'Income Statement'!F44</f>
        <v>415</v>
      </c>
      <c r="H20" s="44">
        <f>G20+'Income Statement'!G44</f>
        <v>498</v>
      </c>
      <c r="I20" s="44">
        <f>H20+'Income Statement'!H44</f>
        <v>581</v>
      </c>
      <c r="J20" s="44">
        <f>I20+'Income Statement'!I44</f>
        <v>664</v>
      </c>
      <c r="K20" s="44">
        <f>J20+'Income Statement'!J44</f>
        <v>747</v>
      </c>
      <c r="L20" s="44">
        <f>K20+'Income Statement'!K44</f>
        <v>830</v>
      </c>
      <c r="M20" s="44">
        <f>L20+'Income Statement'!L44</f>
        <v>913</v>
      </c>
      <c r="N20" s="44">
        <f>M20+'Income Statement'!M44</f>
        <v>996</v>
      </c>
      <c r="O20" s="44">
        <f>N20+'Income Statement'!O44</f>
        <v>1079</v>
      </c>
      <c r="P20" s="44">
        <f>O20+'Income Statement'!P44</f>
        <v>1162</v>
      </c>
      <c r="Q20" s="44">
        <f>P20+'Income Statement'!Q44</f>
        <v>1245</v>
      </c>
      <c r="R20" s="44">
        <f>Q20+'Income Statement'!R44</f>
        <v>1328</v>
      </c>
      <c r="S20" s="44">
        <f>R20+'Income Statement'!S44</f>
        <v>1411</v>
      </c>
      <c r="T20" s="44">
        <f>S20+'Income Statement'!T44</f>
        <v>1494</v>
      </c>
      <c r="U20" s="44">
        <f>T20+'Income Statement'!U44</f>
        <v>1577</v>
      </c>
      <c r="V20" s="44">
        <f>U20+'Income Statement'!V44</f>
        <v>1660</v>
      </c>
      <c r="W20" s="44">
        <f>V20+'Income Statement'!W44</f>
        <v>1743</v>
      </c>
      <c r="X20" s="44">
        <f>W20+'Income Statement'!X44</f>
        <v>1826</v>
      </c>
      <c r="Y20" s="44">
        <f>X20+'Income Statement'!Y44</f>
        <v>1909</v>
      </c>
      <c r="Z20" s="44">
        <f>Y20+'Income Statement'!Z44</f>
        <v>1992</v>
      </c>
      <c r="AA20" s="44">
        <f>Z20+'Income Statement'!AB44</f>
        <v>2242</v>
      </c>
      <c r="AB20" s="44">
        <f>AA20+'Income Statement'!AC44</f>
        <v>2492</v>
      </c>
      <c r="AC20" s="44">
        <f>AB20+'Income Statement'!AD44</f>
        <v>2742</v>
      </c>
      <c r="AD20" s="44">
        <f>AC20+'Income Statement'!AE44</f>
        <v>2992</v>
      </c>
      <c r="AE20" s="55">
        <f>AD20+'Income Statement'!AG44</f>
        <v>3242</v>
      </c>
      <c r="AF20" s="43">
        <f>AE20+'Income Statement'!AH44</f>
        <v>3492</v>
      </c>
      <c r="AG20" s="43">
        <f>AF20+'Income Statement'!AI44</f>
        <v>3742</v>
      </c>
      <c r="AH20" s="69">
        <f>AG20+'Income Statement'!AJ44</f>
        <v>3992</v>
      </c>
      <c r="AI20" s="43">
        <f>AH20+'Income Statement'!AL44</f>
        <v>4992</v>
      </c>
    </row>
    <row r="21" spans="1:35" x14ac:dyDescent="0.25">
      <c r="B21" s="1" t="s">
        <v>143</v>
      </c>
      <c r="C21" s="84">
        <f>C19-C20</f>
        <v>19917</v>
      </c>
      <c r="D21" s="84">
        <f t="shared" ref="D21:N21" si="52">D19-D20</f>
        <v>19834</v>
      </c>
      <c r="E21" s="84">
        <f t="shared" si="52"/>
        <v>19751</v>
      </c>
      <c r="F21" s="84">
        <f t="shared" si="52"/>
        <v>19668</v>
      </c>
      <c r="G21" s="84">
        <f t="shared" si="52"/>
        <v>19585</v>
      </c>
      <c r="H21" s="84">
        <f t="shared" si="52"/>
        <v>19502</v>
      </c>
      <c r="I21" s="84">
        <f t="shared" si="52"/>
        <v>19419</v>
      </c>
      <c r="J21" s="84">
        <f t="shared" si="52"/>
        <v>19336</v>
      </c>
      <c r="K21" s="84">
        <f t="shared" si="52"/>
        <v>19253</v>
      </c>
      <c r="L21" s="84">
        <f t="shared" si="52"/>
        <v>19170</v>
      </c>
      <c r="M21" s="84">
        <f t="shared" si="52"/>
        <v>19087</v>
      </c>
      <c r="N21" s="84">
        <f t="shared" si="52"/>
        <v>19004</v>
      </c>
      <c r="O21" s="84">
        <f t="shared" ref="O21" si="53">O19-O20</f>
        <v>18921</v>
      </c>
      <c r="P21" s="84">
        <f t="shared" ref="P21" si="54">P19-P20</f>
        <v>18838</v>
      </c>
      <c r="Q21" s="84">
        <f t="shared" ref="Q21" si="55">Q19-Q20</f>
        <v>18755</v>
      </c>
      <c r="R21" s="84">
        <f t="shared" ref="R21" si="56">R19-R20</f>
        <v>18672</v>
      </c>
      <c r="S21" s="84">
        <f t="shared" ref="S21" si="57">S19-S20</f>
        <v>18589</v>
      </c>
      <c r="T21" s="84">
        <f t="shared" ref="T21" si="58">T19-T20</f>
        <v>18506</v>
      </c>
      <c r="U21" s="84">
        <f t="shared" ref="U21" si="59">U19-U20</f>
        <v>18423</v>
      </c>
      <c r="V21" s="84">
        <f t="shared" ref="V21" si="60">V19-V20</f>
        <v>18340</v>
      </c>
      <c r="W21" s="84">
        <f t="shared" ref="W21" si="61">W19-W20</f>
        <v>18257</v>
      </c>
      <c r="X21" s="84">
        <f t="shared" ref="X21" si="62">X19-X20</f>
        <v>18174</v>
      </c>
      <c r="Y21" s="84">
        <f t="shared" ref="Y21" si="63">Y19-Y20</f>
        <v>18091</v>
      </c>
      <c r="Z21" s="84">
        <f t="shared" ref="Z21:AA21" si="64">Z19-Z20</f>
        <v>18008</v>
      </c>
      <c r="AA21" s="84">
        <f t="shared" si="64"/>
        <v>17758</v>
      </c>
      <c r="AB21" s="84">
        <f t="shared" ref="AB21" si="65">AB19-AB20</f>
        <v>17508</v>
      </c>
      <c r="AC21" s="84">
        <f t="shared" ref="AC21" si="66">AC19-AC20</f>
        <v>17258</v>
      </c>
      <c r="AD21" s="84">
        <f t="shared" ref="AD21" si="67">AD19-AD20</f>
        <v>17008</v>
      </c>
      <c r="AE21" s="90">
        <f t="shared" ref="AE21" si="68">AE19-AE20</f>
        <v>16758</v>
      </c>
      <c r="AF21" s="84">
        <f t="shared" ref="AF21" si="69">AF19-AF20</f>
        <v>16508</v>
      </c>
      <c r="AG21" s="84">
        <f t="shared" ref="AG21" si="70">AG19-AG20</f>
        <v>16258</v>
      </c>
      <c r="AH21" s="95">
        <f t="shared" ref="AH21" si="71">AH19-AH20</f>
        <v>16008</v>
      </c>
      <c r="AI21" s="84">
        <f t="shared" ref="AI21" si="72">AI19-AI20</f>
        <v>15008</v>
      </c>
    </row>
    <row r="22" spans="1:35" x14ac:dyDescent="0.25">
      <c r="C22" s="38"/>
      <c r="AE22" s="89"/>
      <c r="AH22" s="94"/>
    </row>
    <row r="23" spans="1:35" s="11" customFormat="1" x14ac:dyDescent="0.25">
      <c r="A23" s="11" t="s">
        <v>144</v>
      </c>
      <c r="C23" s="41">
        <f>C17+C21</f>
        <v>68100</v>
      </c>
      <c r="D23" s="41">
        <f t="shared" ref="D23:N23" si="73">D17+D21</f>
        <v>67200</v>
      </c>
      <c r="E23" s="41">
        <f t="shared" si="73"/>
        <v>66300</v>
      </c>
      <c r="F23" s="41">
        <f t="shared" si="73"/>
        <v>65400</v>
      </c>
      <c r="G23" s="41">
        <f t="shared" si="73"/>
        <v>64500</v>
      </c>
      <c r="H23" s="41">
        <f t="shared" si="73"/>
        <v>63600</v>
      </c>
      <c r="I23" s="41">
        <f t="shared" si="73"/>
        <v>62700</v>
      </c>
      <c r="J23" s="41">
        <f t="shared" si="73"/>
        <v>61800</v>
      </c>
      <c r="K23" s="41">
        <f t="shared" si="73"/>
        <v>60900</v>
      </c>
      <c r="L23" s="41">
        <f t="shared" si="73"/>
        <v>60000</v>
      </c>
      <c r="M23" s="41">
        <f t="shared" si="73"/>
        <v>59100</v>
      </c>
      <c r="N23" s="41">
        <f t="shared" si="73"/>
        <v>58200</v>
      </c>
      <c r="O23" s="41">
        <f t="shared" ref="O23:Z23" si="74">O17+O21</f>
        <v>59759</v>
      </c>
      <c r="P23" s="41">
        <f t="shared" si="74"/>
        <v>58818</v>
      </c>
      <c r="Q23" s="41">
        <f t="shared" si="74"/>
        <v>57877</v>
      </c>
      <c r="R23" s="41">
        <f t="shared" si="74"/>
        <v>56936</v>
      </c>
      <c r="S23" s="41">
        <f t="shared" si="74"/>
        <v>55995</v>
      </c>
      <c r="T23" s="41">
        <f t="shared" si="74"/>
        <v>55054</v>
      </c>
      <c r="U23" s="41">
        <f t="shared" si="74"/>
        <v>54113</v>
      </c>
      <c r="V23" s="41">
        <f t="shared" si="74"/>
        <v>53172</v>
      </c>
      <c r="W23" s="41">
        <f t="shared" si="74"/>
        <v>52231</v>
      </c>
      <c r="X23" s="41">
        <f t="shared" si="74"/>
        <v>51290</v>
      </c>
      <c r="Y23" s="41">
        <f t="shared" si="74"/>
        <v>50349</v>
      </c>
      <c r="Z23" s="41">
        <f t="shared" si="74"/>
        <v>49408</v>
      </c>
      <c r="AA23" s="41">
        <f t="shared" ref="AA23:AD23" si="75">AA17+AA21</f>
        <v>50858</v>
      </c>
      <c r="AB23" s="41">
        <f t="shared" si="75"/>
        <v>47808</v>
      </c>
      <c r="AC23" s="41">
        <f t="shared" si="75"/>
        <v>44758</v>
      </c>
      <c r="AD23" s="41">
        <f t="shared" si="75"/>
        <v>41708</v>
      </c>
      <c r="AE23" s="91">
        <f t="shared" ref="AE23:AI23" si="76">AE17+AE21</f>
        <v>53858</v>
      </c>
      <c r="AF23" s="41">
        <f t="shared" si="76"/>
        <v>50008</v>
      </c>
      <c r="AG23" s="41">
        <f t="shared" si="76"/>
        <v>46158</v>
      </c>
      <c r="AH23" s="96">
        <f t="shared" si="76"/>
        <v>42308</v>
      </c>
      <c r="AI23" s="41">
        <f t="shared" si="76"/>
        <v>30508</v>
      </c>
    </row>
    <row r="24" spans="1:35" x14ac:dyDescent="0.25">
      <c r="AE24" s="89"/>
      <c r="AH24" s="94"/>
    </row>
    <row r="25" spans="1:35" s="11" customFormat="1" ht="16.5" thickBot="1" x14ac:dyDescent="0.3">
      <c r="A25" s="11" t="s">
        <v>145</v>
      </c>
      <c r="C25" s="52">
        <f>C12+C23</f>
        <v>611558</v>
      </c>
      <c r="D25" s="52">
        <f t="shared" ref="D25:N25" si="77">D12+D23</f>
        <v>573116</v>
      </c>
      <c r="E25" s="52">
        <f t="shared" si="77"/>
        <v>534674</v>
      </c>
      <c r="F25" s="52">
        <f t="shared" si="77"/>
        <v>496232</v>
      </c>
      <c r="G25" s="52">
        <f t="shared" si="77"/>
        <v>457790</v>
      </c>
      <c r="H25" s="52">
        <f t="shared" si="77"/>
        <v>419348</v>
      </c>
      <c r="I25" s="52">
        <f t="shared" si="77"/>
        <v>399690</v>
      </c>
      <c r="J25" s="52">
        <f t="shared" si="77"/>
        <v>369637</v>
      </c>
      <c r="K25" s="52">
        <f t="shared" si="77"/>
        <v>345676</v>
      </c>
      <c r="L25" s="52">
        <f t="shared" si="77"/>
        <v>324305.5</v>
      </c>
      <c r="M25" s="52">
        <f t="shared" si="77"/>
        <v>302684.5</v>
      </c>
      <c r="N25" s="52">
        <f t="shared" si="77"/>
        <v>286713.5</v>
      </c>
      <c r="O25" s="52">
        <f t="shared" ref="O25:Z25" si="78">O12+O23</f>
        <v>268735.7</v>
      </c>
      <c r="P25" s="52">
        <f t="shared" si="78"/>
        <v>254256.5</v>
      </c>
      <c r="Q25" s="52">
        <f t="shared" si="78"/>
        <v>243759.3</v>
      </c>
      <c r="R25" s="52">
        <f t="shared" si="78"/>
        <v>237739.9</v>
      </c>
      <c r="S25" s="52">
        <f t="shared" si="78"/>
        <v>236756.09999999998</v>
      </c>
      <c r="T25" s="52">
        <f t="shared" si="78"/>
        <v>241448.5</v>
      </c>
      <c r="U25" s="52">
        <f t="shared" si="78"/>
        <v>252518.3</v>
      </c>
      <c r="V25" s="52">
        <f t="shared" si="78"/>
        <v>270766.09999999998</v>
      </c>
      <c r="W25" s="52">
        <f t="shared" si="78"/>
        <v>297093.5</v>
      </c>
      <c r="X25" s="52">
        <f t="shared" si="78"/>
        <v>332504.7</v>
      </c>
      <c r="Y25" s="52">
        <f t="shared" si="78"/>
        <v>378127.9</v>
      </c>
      <c r="Z25" s="52">
        <f t="shared" si="78"/>
        <v>435253.5</v>
      </c>
      <c r="AA25" s="52">
        <f t="shared" ref="AA25:AD25" si="79">AA12+AA23</f>
        <v>666494.5</v>
      </c>
      <c r="AB25" s="52">
        <f t="shared" si="79"/>
        <v>959960.15</v>
      </c>
      <c r="AC25" s="52">
        <f t="shared" si="79"/>
        <v>1285937.45</v>
      </c>
      <c r="AD25" s="52">
        <f t="shared" si="79"/>
        <v>1720299.75</v>
      </c>
      <c r="AE25" s="66">
        <f t="shared" ref="AE25:AI25" si="80">AE12+AE23</f>
        <v>2302828.75</v>
      </c>
      <c r="AF25" s="52">
        <f t="shared" si="80"/>
        <v>2986781.75</v>
      </c>
      <c r="AG25" s="52">
        <f t="shared" si="80"/>
        <v>3790991.75</v>
      </c>
      <c r="AH25" s="75">
        <f t="shared" si="80"/>
        <v>4733503.95</v>
      </c>
      <c r="AI25" s="52">
        <f t="shared" si="80"/>
        <v>8763851.3500000015</v>
      </c>
    </row>
    <row r="26" spans="1:35" ht="16.5" thickTop="1" x14ac:dyDescent="0.25">
      <c r="AE26" s="89"/>
      <c r="AH26" s="94"/>
    </row>
    <row r="27" spans="1:35" x14ac:dyDescent="0.25">
      <c r="AE27" s="89"/>
      <c r="AH27" s="94"/>
    </row>
    <row r="28" spans="1:35" ht="18.75" x14ac:dyDescent="0.25">
      <c r="A28" s="83" t="s">
        <v>81</v>
      </c>
      <c r="B28" s="31"/>
      <c r="AE28" s="89"/>
      <c r="AH28" s="94"/>
    </row>
    <row r="29" spans="1:35" ht="18.75" x14ac:dyDescent="0.25">
      <c r="A29" s="83" t="s">
        <v>146</v>
      </c>
      <c r="B29" s="31"/>
      <c r="AE29" s="89"/>
      <c r="AH29" s="94"/>
    </row>
    <row r="30" spans="1:35" x14ac:dyDescent="0.25">
      <c r="B30" s="1" t="s">
        <v>147</v>
      </c>
      <c r="C30" s="38">
        <f>'Balance Sheet Assumptions'!$B$14*'Income Statement'!B31</f>
        <v>0</v>
      </c>
      <c r="D30" s="38">
        <f>'Balance Sheet Assumptions'!$B$14*'Income Statement'!C31</f>
        <v>0</v>
      </c>
      <c r="E30" s="38">
        <f>'Balance Sheet Assumptions'!$B$14*'Income Statement'!D31</f>
        <v>0</v>
      </c>
      <c r="F30" s="38">
        <f>'Balance Sheet Assumptions'!$B$14*'Income Statement'!E31</f>
        <v>0</v>
      </c>
      <c r="G30" s="38">
        <f>'Balance Sheet Assumptions'!$B$14*'Income Statement'!F31</f>
        <v>0</v>
      </c>
      <c r="H30" s="38">
        <f>'Balance Sheet Assumptions'!$B$14*'Income Statement'!G31</f>
        <v>0</v>
      </c>
      <c r="I30" s="38">
        <f>'Balance Sheet Assumptions'!$B$14*'Income Statement'!H31</f>
        <v>7974</v>
      </c>
      <c r="J30" s="38">
        <f>'Balance Sheet Assumptions'!$B$14*'Income Statement'!I31</f>
        <v>8181</v>
      </c>
      <c r="K30" s="38">
        <f>'Balance Sheet Assumptions'!$B$14*'Income Statement'!J31</f>
        <v>10507.5</v>
      </c>
      <c r="L30" s="38">
        <f>'Balance Sheet Assumptions'!$B$14*'Income Statement'!K31</f>
        <v>12582</v>
      </c>
      <c r="M30" s="38">
        <f>'Balance Sheet Assumptions'!$B$14*'Income Statement'!L31</f>
        <v>12996</v>
      </c>
      <c r="N30" s="38">
        <f>'Balance Sheet Assumptions'!$B$14*'Income Statement'!M31</f>
        <v>15300</v>
      </c>
      <c r="O30" s="38">
        <f>'Balance Sheet Assumptions'!$B$14*'Income Statement'!O31</f>
        <v>17248.2</v>
      </c>
      <c r="P30" s="38">
        <f>'Balance Sheet Assumptions'!$B$14*'Income Statement'!P31</f>
        <v>19401</v>
      </c>
      <c r="Q30" s="38">
        <f>'Balance Sheet Assumptions'!$B$14*'Income Statement'!Q31</f>
        <v>21826.799999999999</v>
      </c>
      <c r="R30" s="38">
        <f>'Balance Sheet Assumptions'!$B$14*'Income Statement'!R31</f>
        <v>24554.399999999998</v>
      </c>
      <c r="S30" s="38">
        <f>'Balance Sheet Assumptions'!$B$14*'Income Statement'!S31</f>
        <v>27624.6</v>
      </c>
      <c r="T30" s="38">
        <f>'Balance Sheet Assumptions'!$B$14*'Income Statement'!T31</f>
        <v>31080</v>
      </c>
      <c r="U30" s="38">
        <f>'Balance Sheet Assumptions'!$B$14*'Income Statement'!U31</f>
        <v>34966.799999999996</v>
      </c>
      <c r="V30" s="38">
        <f>'Balance Sheet Assumptions'!$B$14*'Income Statement'!V31</f>
        <v>39339.599999999999</v>
      </c>
      <c r="W30" s="38">
        <f>'Balance Sheet Assumptions'!$B$14*'Income Statement'!W31</f>
        <v>44259</v>
      </c>
      <c r="X30" s="38">
        <f>'Balance Sheet Assumptions'!$B$14*'Income Statement'!X31</f>
        <v>49792.2</v>
      </c>
      <c r="Y30" s="38">
        <f>'Balance Sheet Assumptions'!$B$14*'Income Statement'!Y31</f>
        <v>56015.4</v>
      </c>
      <c r="Z30" s="38">
        <f>'Balance Sheet Assumptions'!$B$14*'Income Statement'!Z31</f>
        <v>63021</v>
      </c>
      <c r="AA30" s="38">
        <f>ROUND((('Balance Sheet Assumptions'!$B$14*'Income Statement'!AB31)/3),0)</f>
        <v>72175</v>
      </c>
      <c r="AB30" s="38">
        <f>ROUND((('Balance Sheet Assumptions'!$B$14*'Income Statement'!AC31)/3),0)</f>
        <v>90219</v>
      </c>
      <c r="AC30" s="38">
        <f>ROUND((('Balance Sheet Assumptions'!$B$14*'Income Statement'!AD31)/3),0)</f>
        <v>112775</v>
      </c>
      <c r="AD30" s="38">
        <f>ROUND((('Balance Sheet Assumptions'!$B$14*'Income Statement'!AE31)/3),0)</f>
        <v>140970</v>
      </c>
      <c r="AE30" s="54">
        <f>ROUND((('Balance Sheet Assumptions'!$B$14*'Income Statement'!AG31)/3),0)</f>
        <v>165739</v>
      </c>
      <c r="AF30" s="38">
        <f>ROUND((('Balance Sheet Assumptions'!$B$14*'Income Statement'!AH31)/3),0)</f>
        <v>190600</v>
      </c>
      <c r="AG30" s="38">
        <f>ROUND((('Balance Sheet Assumptions'!$B$14*'Income Statement'!AI31)/3),0)</f>
        <v>219189</v>
      </c>
      <c r="AH30" s="68">
        <f>ROUND((('Balance Sheet Assumptions'!$B$14*'Income Statement'!AJ31)/3),0)</f>
        <v>252068</v>
      </c>
      <c r="AI30" s="38">
        <f>ROUND((('Balance Sheet Assumptions'!$B$14*'Income Statement'!AL31)/12),0)</f>
        <v>279646</v>
      </c>
    </row>
    <row r="31" spans="1:35" x14ac:dyDescent="0.25">
      <c r="B31" s="1" t="s">
        <v>148</v>
      </c>
      <c r="C31" s="44">
        <v>0</v>
      </c>
      <c r="D31" s="44">
        <v>0</v>
      </c>
      <c r="E31" s="44">
        <v>0</v>
      </c>
      <c r="F31" s="44">
        <v>0</v>
      </c>
      <c r="G31" s="44">
        <v>0</v>
      </c>
      <c r="H31" s="44">
        <v>0</v>
      </c>
      <c r="I31" s="44">
        <v>0</v>
      </c>
      <c r="J31" s="44">
        <v>0</v>
      </c>
      <c r="K31" s="44">
        <v>0</v>
      </c>
      <c r="L31" s="44">
        <v>0</v>
      </c>
      <c r="M31" s="44">
        <v>0</v>
      </c>
      <c r="N31" s="44">
        <v>0</v>
      </c>
      <c r="O31" s="44">
        <v>0</v>
      </c>
      <c r="P31" s="44">
        <v>0</v>
      </c>
      <c r="Q31" s="44">
        <v>0</v>
      </c>
      <c r="R31" s="44">
        <v>0</v>
      </c>
      <c r="S31" s="44">
        <v>0</v>
      </c>
      <c r="T31" s="44">
        <v>0</v>
      </c>
      <c r="U31" s="44">
        <v>0</v>
      </c>
      <c r="V31" s="44">
        <v>0</v>
      </c>
      <c r="W31" s="44">
        <v>0</v>
      </c>
      <c r="X31" s="44">
        <v>0</v>
      </c>
      <c r="Y31" s="44">
        <v>0</v>
      </c>
      <c r="Z31" s="44">
        <v>0</v>
      </c>
      <c r="AA31" s="44">
        <v>0</v>
      </c>
      <c r="AB31" s="44">
        <v>0</v>
      </c>
      <c r="AC31" s="44">
        <v>0</v>
      </c>
      <c r="AD31" s="44">
        <v>0</v>
      </c>
      <c r="AE31" s="56">
        <v>0</v>
      </c>
      <c r="AF31" s="44">
        <v>0</v>
      </c>
      <c r="AG31" s="44">
        <v>0</v>
      </c>
      <c r="AH31" s="70">
        <v>0</v>
      </c>
      <c r="AI31" s="44">
        <v>0</v>
      </c>
    </row>
    <row r="32" spans="1:35" s="11" customFormat="1" x14ac:dyDescent="0.25">
      <c r="A32" s="11" t="s">
        <v>149</v>
      </c>
      <c r="C32" s="48">
        <f>SUM(C30:C31)</f>
        <v>0</v>
      </c>
      <c r="D32" s="48">
        <f t="shared" ref="D32:N32" si="81">SUM(D30:D31)</f>
        <v>0</v>
      </c>
      <c r="E32" s="48">
        <f t="shared" si="81"/>
        <v>0</v>
      </c>
      <c r="F32" s="48">
        <f t="shared" si="81"/>
        <v>0</v>
      </c>
      <c r="G32" s="48">
        <f t="shared" si="81"/>
        <v>0</v>
      </c>
      <c r="H32" s="48">
        <f t="shared" si="81"/>
        <v>0</v>
      </c>
      <c r="I32" s="48">
        <f t="shared" si="81"/>
        <v>7974</v>
      </c>
      <c r="J32" s="48">
        <f t="shared" si="81"/>
        <v>8181</v>
      </c>
      <c r="K32" s="48">
        <f t="shared" si="81"/>
        <v>10507.5</v>
      </c>
      <c r="L32" s="48">
        <f t="shared" si="81"/>
        <v>12582</v>
      </c>
      <c r="M32" s="48">
        <f t="shared" si="81"/>
        <v>12996</v>
      </c>
      <c r="N32" s="48">
        <f t="shared" si="81"/>
        <v>15300</v>
      </c>
      <c r="O32" s="48">
        <f t="shared" ref="O32" si="82">SUM(O30:O31)</f>
        <v>17248.2</v>
      </c>
      <c r="P32" s="48">
        <f t="shared" ref="P32" si="83">SUM(P30:P31)</f>
        <v>19401</v>
      </c>
      <c r="Q32" s="48">
        <f t="shared" ref="Q32" si="84">SUM(Q30:Q31)</f>
        <v>21826.799999999999</v>
      </c>
      <c r="R32" s="48">
        <f t="shared" ref="R32" si="85">SUM(R30:R31)</f>
        <v>24554.399999999998</v>
      </c>
      <c r="S32" s="48">
        <f t="shared" ref="S32" si="86">SUM(S30:S31)</f>
        <v>27624.6</v>
      </c>
      <c r="T32" s="48">
        <f t="shared" ref="T32" si="87">SUM(T30:T31)</f>
        <v>31080</v>
      </c>
      <c r="U32" s="48">
        <f t="shared" ref="U32" si="88">SUM(U30:U31)</f>
        <v>34966.799999999996</v>
      </c>
      <c r="V32" s="48">
        <f t="shared" ref="V32" si="89">SUM(V30:V31)</f>
        <v>39339.599999999999</v>
      </c>
      <c r="W32" s="48">
        <f t="shared" ref="W32" si="90">SUM(W30:W31)</f>
        <v>44259</v>
      </c>
      <c r="X32" s="48">
        <f t="shared" ref="X32" si="91">SUM(X30:X31)</f>
        <v>49792.2</v>
      </c>
      <c r="Y32" s="48">
        <f t="shared" ref="Y32" si="92">SUM(Y30:Y31)</f>
        <v>56015.4</v>
      </c>
      <c r="Z32" s="48">
        <f t="shared" ref="Z32:AA32" si="93">SUM(Z30:Z31)</f>
        <v>63021</v>
      </c>
      <c r="AA32" s="48">
        <f t="shared" si="93"/>
        <v>72175</v>
      </c>
      <c r="AB32" s="48">
        <f t="shared" ref="AB32" si="94">SUM(AB30:AB31)</f>
        <v>90219</v>
      </c>
      <c r="AC32" s="48">
        <f t="shared" ref="AC32" si="95">SUM(AC30:AC31)</f>
        <v>112775</v>
      </c>
      <c r="AD32" s="48">
        <f t="shared" ref="AD32" si="96">SUM(AD30:AD31)</f>
        <v>140970</v>
      </c>
      <c r="AE32" s="57">
        <f t="shared" ref="AE32" si="97">SUM(AE30:AE31)</f>
        <v>165739</v>
      </c>
      <c r="AF32" s="48">
        <f t="shared" ref="AF32" si="98">SUM(AF30:AF31)</f>
        <v>190600</v>
      </c>
      <c r="AG32" s="48">
        <f t="shared" ref="AG32" si="99">SUM(AG30:AG31)</f>
        <v>219189</v>
      </c>
      <c r="AH32" s="71">
        <f t="shared" ref="AH32" si="100">SUM(AH30:AH31)</f>
        <v>252068</v>
      </c>
      <c r="AI32" s="48">
        <f t="shared" ref="AI32" si="101">SUM(AI30:AI31)</f>
        <v>279646</v>
      </c>
    </row>
    <row r="33" spans="1:35" x14ac:dyDescent="0.25">
      <c r="AE33" s="89"/>
      <c r="AH33" s="94"/>
    </row>
    <row r="34" spans="1:35" ht="18.75" x14ac:dyDescent="0.25">
      <c r="A34" s="83" t="s">
        <v>150</v>
      </c>
      <c r="B34" s="31"/>
      <c r="AE34" s="89"/>
      <c r="AH34" s="94"/>
    </row>
    <row r="35" spans="1:35" x14ac:dyDescent="0.25">
      <c r="B35" s="1" t="s">
        <v>151</v>
      </c>
      <c r="C35" s="33">
        <v>0</v>
      </c>
      <c r="D35" s="33">
        <v>0</v>
      </c>
      <c r="E35" s="33">
        <v>0</v>
      </c>
      <c r="F35" s="33">
        <v>0</v>
      </c>
      <c r="G35" s="33">
        <v>0</v>
      </c>
      <c r="H35" s="33">
        <v>0</v>
      </c>
      <c r="I35" s="33">
        <v>0</v>
      </c>
      <c r="J35" s="33">
        <v>0</v>
      </c>
      <c r="K35" s="33">
        <v>0</v>
      </c>
      <c r="L35" s="33">
        <v>0</v>
      </c>
      <c r="M35" s="33">
        <v>0</v>
      </c>
      <c r="N35" s="33">
        <v>0</v>
      </c>
      <c r="O35" s="33">
        <v>0</v>
      </c>
      <c r="P35" s="33">
        <v>0</v>
      </c>
      <c r="Q35" s="33">
        <v>0</v>
      </c>
      <c r="R35" s="33">
        <v>0</v>
      </c>
      <c r="S35" s="33">
        <v>0</v>
      </c>
      <c r="T35" s="33">
        <v>0</v>
      </c>
      <c r="U35" s="33">
        <v>0</v>
      </c>
      <c r="V35" s="33">
        <v>0</v>
      </c>
      <c r="W35" s="33">
        <v>0</v>
      </c>
      <c r="X35" s="33">
        <v>0</v>
      </c>
      <c r="Y35" s="33">
        <v>0</v>
      </c>
      <c r="Z35" s="33">
        <v>0</v>
      </c>
      <c r="AA35" s="33">
        <v>0</v>
      </c>
      <c r="AB35" s="33">
        <v>0</v>
      </c>
      <c r="AC35" s="33">
        <v>0</v>
      </c>
      <c r="AD35" s="33">
        <v>0</v>
      </c>
      <c r="AE35" s="56">
        <v>0</v>
      </c>
      <c r="AF35" s="44">
        <v>0</v>
      </c>
      <c r="AG35" s="44">
        <v>0</v>
      </c>
      <c r="AH35" s="70">
        <v>0</v>
      </c>
      <c r="AI35" s="44">
        <v>0</v>
      </c>
    </row>
    <row r="36" spans="1:35" x14ac:dyDescent="0.25">
      <c r="AE36" s="89"/>
      <c r="AH36" s="94"/>
    </row>
    <row r="37" spans="1:35" s="11" customFormat="1" x14ac:dyDescent="0.25">
      <c r="A37" s="11" t="s">
        <v>152</v>
      </c>
      <c r="C37" s="41">
        <f>C32+C35</f>
        <v>0</v>
      </c>
      <c r="D37" s="41">
        <f t="shared" ref="D37:N37" si="102">D32+D35</f>
        <v>0</v>
      </c>
      <c r="E37" s="41">
        <f t="shared" si="102"/>
        <v>0</v>
      </c>
      <c r="F37" s="41">
        <f t="shared" si="102"/>
        <v>0</v>
      </c>
      <c r="G37" s="41">
        <f t="shared" si="102"/>
        <v>0</v>
      </c>
      <c r="H37" s="41">
        <f t="shared" si="102"/>
        <v>0</v>
      </c>
      <c r="I37" s="41">
        <f t="shared" si="102"/>
        <v>7974</v>
      </c>
      <c r="J37" s="41">
        <f t="shared" si="102"/>
        <v>8181</v>
      </c>
      <c r="K37" s="41">
        <f t="shared" si="102"/>
        <v>10507.5</v>
      </c>
      <c r="L37" s="41">
        <f t="shared" si="102"/>
        <v>12582</v>
      </c>
      <c r="M37" s="41">
        <f t="shared" si="102"/>
        <v>12996</v>
      </c>
      <c r="N37" s="41">
        <f t="shared" si="102"/>
        <v>15300</v>
      </c>
      <c r="O37" s="41">
        <f t="shared" ref="O37:AD37" si="103">O32+O35</f>
        <v>17248.2</v>
      </c>
      <c r="P37" s="41">
        <f t="shared" si="103"/>
        <v>19401</v>
      </c>
      <c r="Q37" s="41">
        <f t="shared" si="103"/>
        <v>21826.799999999999</v>
      </c>
      <c r="R37" s="41">
        <f t="shared" si="103"/>
        <v>24554.399999999998</v>
      </c>
      <c r="S37" s="41">
        <f t="shared" si="103"/>
        <v>27624.6</v>
      </c>
      <c r="T37" s="41">
        <f t="shared" si="103"/>
        <v>31080</v>
      </c>
      <c r="U37" s="41">
        <f t="shared" si="103"/>
        <v>34966.799999999996</v>
      </c>
      <c r="V37" s="41">
        <f t="shared" si="103"/>
        <v>39339.599999999999</v>
      </c>
      <c r="W37" s="41">
        <f t="shared" si="103"/>
        <v>44259</v>
      </c>
      <c r="X37" s="41">
        <f t="shared" si="103"/>
        <v>49792.2</v>
      </c>
      <c r="Y37" s="41">
        <f t="shared" si="103"/>
        <v>56015.4</v>
      </c>
      <c r="Z37" s="41">
        <f t="shared" si="103"/>
        <v>63021</v>
      </c>
      <c r="AA37" s="41">
        <f t="shared" si="103"/>
        <v>72175</v>
      </c>
      <c r="AB37" s="41">
        <f t="shared" si="103"/>
        <v>90219</v>
      </c>
      <c r="AC37" s="41">
        <f t="shared" si="103"/>
        <v>112775</v>
      </c>
      <c r="AD37" s="41">
        <f t="shared" si="103"/>
        <v>140970</v>
      </c>
      <c r="AE37" s="91">
        <f t="shared" ref="AE37:AI37" si="104">AE32+AE35</f>
        <v>165739</v>
      </c>
      <c r="AF37" s="41">
        <f t="shared" si="104"/>
        <v>190600</v>
      </c>
      <c r="AG37" s="41">
        <f t="shared" si="104"/>
        <v>219189</v>
      </c>
      <c r="AH37" s="96">
        <f t="shared" si="104"/>
        <v>252068</v>
      </c>
      <c r="AI37" s="41">
        <f t="shared" si="104"/>
        <v>279646</v>
      </c>
    </row>
    <row r="38" spans="1:35" x14ac:dyDescent="0.25">
      <c r="AE38" s="89"/>
      <c r="AH38" s="94"/>
    </row>
    <row r="39" spans="1:35" ht="18.75" x14ac:dyDescent="0.25">
      <c r="A39" s="83" t="s">
        <v>153</v>
      </c>
      <c r="B39" s="31"/>
      <c r="AE39" s="89"/>
      <c r="AH39" s="94"/>
    </row>
    <row r="40" spans="1:35" x14ac:dyDescent="0.25">
      <c r="B40" s="1" t="s">
        <v>154</v>
      </c>
      <c r="C40" s="49">
        <f>'Balance Sheet Assumptions'!B19</f>
        <v>100000</v>
      </c>
      <c r="D40" s="49">
        <f>C40</f>
        <v>100000</v>
      </c>
      <c r="E40" s="49">
        <f t="shared" ref="E40:N40" si="105">D40</f>
        <v>100000</v>
      </c>
      <c r="F40" s="49">
        <f t="shared" si="105"/>
        <v>100000</v>
      </c>
      <c r="G40" s="49">
        <f t="shared" si="105"/>
        <v>100000</v>
      </c>
      <c r="H40" s="49">
        <f t="shared" si="105"/>
        <v>100000</v>
      </c>
      <c r="I40" s="49">
        <f t="shared" si="105"/>
        <v>100000</v>
      </c>
      <c r="J40" s="49">
        <f t="shared" si="105"/>
        <v>100000</v>
      </c>
      <c r="K40" s="49">
        <f t="shared" si="105"/>
        <v>100000</v>
      </c>
      <c r="L40" s="49">
        <f t="shared" si="105"/>
        <v>100000</v>
      </c>
      <c r="M40" s="49">
        <f t="shared" si="105"/>
        <v>100000</v>
      </c>
      <c r="N40" s="49">
        <f t="shared" si="105"/>
        <v>100000</v>
      </c>
      <c r="O40" s="49">
        <f t="shared" ref="O40:Z40" si="106">N40</f>
        <v>100000</v>
      </c>
      <c r="P40" s="49">
        <f t="shared" si="106"/>
        <v>100000</v>
      </c>
      <c r="Q40" s="49">
        <f t="shared" si="106"/>
        <v>100000</v>
      </c>
      <c r="R40" s="49">
        <f t="shared" si="106"/>
        <v>100000</v>
      </c>
      <c r="S40" s="49">
        <f t="shared" si="106"/>
        <v>100000</v>
      </c>
      <c r="T40" s="49">
        <f t="shared" si="106"/>
        <v>100000</v>
      </c>
      <c r="U40" s="49">
        <f t="shared" si="106"/>
        <v>100000</v>
      </c>
      <c r="V40" s="49">
        <f t="shared" si="106"/>
        <v>100000</v>
      </c>
      <c r="W40" s="49">
        <f t="shared" si="106"/>
        <v>100000</v>
      </c>
      <c r="X40" s="49">
        <f t="shared" si="106"/>
        <v>100000</v>
      </c>
      <c r="Y40" s="49">
        <f t="shared" si="106"/>
        <v>100000</v>
      </c>
      <c r="Z40" s="49">
        <f t="shared" si="106"/>
        <v>100000</v>
      </c>
      <c r="AA40" s="49">
        <f t="shared" ref="AA40:AD40" si="107">Z40</f>
        <v>100000</v>
      </c>
      <c r="AB40" s="49">
        <f t="shared" si="107"/>
        <v>100000</v>
      </c>
      <c r="AC40" s="49">
        <f t="shared" si="107"/>
        <v>100000</v>
      </c>
      <c r="AD40" s="49">
        <f t="shared" si="107"/>
        <v>100000</v>
      </c>
      <c r="AE40" s="59">
        <f t="shared" ref="AE40:AI40" si="108">AD40</f>
        <v>100000</v>
      </c>
      <c r="AF40" s="49">
        <f t="shared" si="108"/>
        <v>100000</v>
      </c>
      <c r="AG40" s="49">
        <f t="shared" si="108"/>
        <v>100000</v>
      </c>
      <c r="AH40" s="73">
        <f t="shared" si="108"/>
        <v>100000</v>
      </c>
      <c r="AI40" s="49">
        <f t="shared" si="108"/>
        <v>100000</v>
      </c>
    </row>
    <row r="41" spans="1:35" x14ac:dyDescent="0.25">
      <c r="B41" s="1" t="s">
        <v>155</v>
      </c>
      <c r="C41" s="43">
        <f>'Balance Sheet Assumptions'!B20</f>
        <v>675000</v>
      </c>
      <c r="D41" s="43">
        <f>C41</f>
        <v>675000</v>
      </c>
      <c r="E41" s="43">
        <f t="shared" ref="E41:N41" si="109">D41</f>
        <v>675000</v>
      </c>
      <c r="F41" s="43">
        <f t="shared" si="109"/>
        <v>675000</v>
      </c>
      <c r="G41" s="43">
        <f t="shared" si="109"/>
        <v>675000</v>
      </c>
      <c r="H41" s="43">
        <f t="shared" si="109"/>
        <v>675000</v>
      </c>
      <c r="I41" s="43">
        <f t="shared" si="109"/>
        <v>675000</v>
      </c>
      <c r="J41" s="43">
        <f t="shared" si="109"/>
        <v>675000</v>
      </c>
      <c r="K41" s="43">
        <f t="shared" si="109"/>
        <v>675000</v>
      </c>
      <c r="L41" s="43">
        <f t="shared" si="109"/>
        <v>675000</v>
      </c>
      <c r="M41" s="43">
        <f t="shared" si="109"/>
        <v>675000</v>
      </c>
      <c r="N41" s="43">
        <f t="shared" si="109"/>
        <v>675000</v>
      </c>
      <c r="O41" s="43">
        <f t="shared" ref="O41:Z41" si="110">N41</f>
        <v>675000</v>
      </c>
      <c r="P41" s="43">
        <f t="shared" si="110"/>
        <v>675000</v>
      </c>
      <c r="Q41" s="43">
        <f t="shared" si="110"/>
        <v>675000</v>
      </c>
      <c r="R41" s="43">
        <f t="shared" si="110"/>
        <v>675000</v>
      </c>
      <c r="S41" s="43">
        <f t="shared" si="110"/>
        <v>675000</v>
      </c>
      <c r="T41" s="43">
        <f t="shared" si="110"/>
        <v>675000</v>
      </c>
      <c r="U41" s="43">
        <f t="shared" si="110"/>
        <v>675000</v>
      </c>
      <c r="V41" s="43">
        <f t="shared" si="110"/>
        <v>675000</v>
      </c>
      <c r="W41" s="43">
        <f t="shared" si="110"/>
        <v>675000</v>
      </c>
      <c r="X41" s="43">
        <f t="shared" si="110"/>
        <v>675000</v>
      </c>
      <c r="Y41" s="43">
        <f t="shared" si="110"/>
        <v>675000</v>
      </c>
      <c r="Z41" s="43">
        <f t="shared" si="110"/>
        <v>675000</v>
      </c>
      <c r="AA41" s="43">
        <f t="shared" ref="AA41:AD41" si="111">Z41</f>
        <v>675000</v>
      </c>
      <c r="AB41" s="43">
        <f t="shared" si="111"/>
        <v>675000</v>
      </c>
      <c r="AC41" s="43">
        <f t="shared" si="111"/>
        <v>675000</v>
      </c>
      <c r="AD41" s="43">
        <f t="shared" si="111"/>
        <v>675000</v>
      </c>
      <c r="AE41" s="55">
        <f t="shared" ref="AE41:AI41" si="112">AD41</f>
        <v>675000</v>
      </c>
      <c r="AF41" s="43">
        <f t="shared" si="112"/>
        <v>675000</v>
      </c>
      <c r="AG41" s="43">
        <f t="shared" si="112"/>
        <v>675000</v>
      </c>
      <c r="AH41" s="69">
        <f t="shared" si="112"/>
        <v>675000</v>
      </c>
      <c r="AI41" s="43">
        <f t="shared" si="112"/>
        <v>675000</v>
      </c>
    </row>
    <row r="42" spans="1:35" x14ac:dyDescent="0.25">
      <c r="B42" s="1" t="s">
        <v>156</v>
      </c>
      <c r="C42" s="44">
        <f>'Statement of Retained Earnings'!B9</f>
        <v>-163442</v>
      </c>
      <c r="D42" s="44">
        <f>'Statement of Retained Earnings'!C9</f>
        <v>-201884</v>
      </c>
      <c r="E42" s="44">
        <f>'Statement of Retained Earnings'!D9</f>
        <v>-240326</v>
      </c>
      <c r="F42" s="44">
        <f>'Statement of Retained Earnings'!E9</f>
        <v>-278768</v>
      </c>
      <c r="G42" s="44">
        <f>'Statement of Retained Earnings'!F9</f>
        <v>-317210</v>
      </c>
      <c r="H42" s="44">
        <f>'Statement of Retained Earnings'!G9</f>
        <v>-355652</v>
      </c>
      <c r="I42" s="44">
        <f>'Statement of Retained Earnings'!H9</f>
        <v>-383284</v>
      </c>
      <c r="J42" s="44">
        <f>'Statement of Retained Earnings'!I9</f>
        <v>-413544</v>
      </c>
      <c r="K42" s="44">
        <f>'Statement of Retained Earnings'!J9</f>
        <v>-439831.5</v>
      </c>
      <c r="L42" s="44">
        <f>'Statement of Retained Earnings'!K9</f>
        <v>-463276.5</v>
      </c>
      <c r="M42" s="44">
        <f>'Statement of Retained Earnings'!L9</f>
        <v>-485311.5</v>
      </c>
      <c r="N42" s="44">
        <f>'Statement of Retained Earnings'!M9</f>
        <v>-503586.5</v>
      </c>
      <c r="O42" s="44">
        <f>'Statement of Retained Earnings'!N9</f>
        <v>-523512.5</v>
      </c>
      <c r="P42" s="44">
        <f>'Statement of Retained Earnings'!O9</f>
        <v>-540144.5</v>
      </c>
      <c r="Q42" s="44">
        <f>'Statement of Retained Earnings'!P9</f>
        <v>-553067.5</v>
      </c>
      <c r="R42" s="44">
        <f>'Statement of Retained Earnings'!Q9</f>
        <v>-561814.5</v>
      </c>
      <c r="S42" s="44">
        <f>'Statement of Retained Earnings'!R9</f>
        <v>-565868.5</v>
      </c>
      <c r="T42" s="44">
        <f>'Statement of Retained Earnings'!S9</f>
        <v>-564631.5</v>
      </c>
      <c r="U42" s="44">
        <f>'Statement of Retained Earnings'!T9</f>
        <v>-557448.5</v>
      </c>
      <c r="V42" s="44">
        <f>'Statement of Retained Earnings'!U9</f>
        <v>-543573.5</v>
      </c>
      <c r="W42" s="44">
        <f>'Statement of Retained Earnings'!V9</f>
        <v>-522165.5</v>
      </c>
      <c r="X42" s="44">
        <f>'Statement of Retained Earnings'!W9</f>
        <v>-492287.5</v>
      </c>
      <c r="Y42" s="44">
        <f>'Statement of Retained Earnings'!X9</f>
        <v>-452887.5</v>
      </c>
      <c r="Z42" s="44">
        <f>'Statement of Retained Earnings'!Y9</f>
        <v>-402767.5</v>
      </c>
      <c r="AA42" s="44">
        <f>'Statement of Retained Earnings'!Z9</f>
        <v>-180680.5</v>
      </c>
      <c r="AB42" s="44">
        <f>'Statement of Retained Earnings'!AA9</f>
        <v>94741.150000000023</v>
      </c>
      <c r="AC42" s="44">
        <f>'Statement of Retained Earnings'!AB9</f>
        <v>398162.45</v>
      </c>
      <c r="AD42" s="44">
        <f>'Statement of Retained Earnings'!AC9</f>
        <v>804329.75</v>
      </c>
      <c r="AE42" s="56">
        <f>'Statement of Retained Earnings'!AD9</f>
        <v>1362089.75</v>
      </c>
      <c r="AF42" s="44">
        <f>'Statement of Retained Earnings'!AE9</f>
        <v>2021181.75</v>
      </c>
      <c r="AG42" s="44">
        <f>'Statement of Retained Earnings'!AF9</f>
        <v>2796802.75</v>
      </c>
      <c r="AH42" s="70">
        <f>'Statement of Retained Earnings'!AG9</f>
        <v>3706435.95</v>
      </c>
      <c r="AI42" s="44">
        <f>'Statement of Retained Earnings'!AH9</f>
        <v>7709205.3500000006</v>
      </c>
    </row>
    <row r="43" spans="1:35" s="11" customFormat="1" x14ac:dyDescent="0.25">
      <c r="A43" s="11" t="s">
        <v>157</v>
      </c>
      <c r="C43" s="85">
        <f>SUM(C39:C42)</f>
        <v>611558</v>
      </c>
      <c r="D43" s="85">
        <f t="shared" ref="D43" si="113">SUM(D39:D42)</f>
        <v>573116</v>
      </c>
      <c r="E43" s="85">
        <f t="shared" ref="E43" si="114">SUM(E39:E42)</f>
        <v>534674</v>
      </c>
      <c r="F43" s="85">
        <f t="shared" ref="F43" si="115">SUM(F39:F42)</f>
        <v>496232</v>
      </c>
      <c r="G43" s="85">
        <f t="shared" ref="G43" si="116">SUM(G39:G42)</f>
        <v>457790</v>
      </c>
      <c r="H43" s="85">
        <f t="shared" ref="H43" si="117">SUM(H39:H42)</f>
        <v>419348</v>
      </c>
      <c r="I43" s="85">
        <f t="shared" ref="I43" si="118">SUM(I39:I42)</f>
        <v>391716</v>
      </c>
      <c r="J43" s="85">
        <f t="shared" ref="J43" si="119">SUM(J39:J42)</f>
        <v>361456</v>
      </c>
      <c r="K43" s="85">
        <f t="shared" ref="K43" si="120">SUM(K39:K42)</f>
        <v>335168.5</v>
      </c>
      <c r="L43" s="85">
        <f t="shared" ref="L43" si="121">SUM(L39:L42)</f>
        <v>311723.5</v>
      </c>
      <c r="M43" s="85">
        <f t="shared" ref="M43" si="122">SUM(M39:M42)</f>
        <v>289688.5</v>
      </c>
      <c r="N43" s="85">
        <f t="shared" ref="N43" si="123">SUM(N39:N42)</f>
        <v>271413.5</v>
      </c>
      <c r="O43" s="85">
        <f t="shared" ref="O43" si="124">SUM(O39:O42)</f>
        <v>251487.5</v>
      </c>
      <c r="P43" s="85">
        <f t="shared" ref="P43" si="125">SUM(P39:P42)</f>
        <v>234855.5</v>
      </c>
      <c r="Q43" s="85">
        <f t="shared" ref="Q43" si="126">SUM(Q39:Q42)</f>
        <v>221932.5</v>
      </c>
      <c r="R43" s="85">
        <f t="shared" ref="R43" si="127">SUM(R39:R42)</f>
        <v>213185.5</v>
      </c>
      <c r="S43" s="85">
        <f t="shared" ref="S43" si="128">SUM(S39:S42)</f>
        <v>209131.5</v>
      </c>
      <c r="T43" s="85">
        <f t="shared" ref="T43" si="129">SUM(T39:T42)</f>
        <v>210368.5</v>
      </c>
      <c r="U43" s="85">
        <f t="shared" ref="U43" si="130">SUM(U39:U42)</f>
        <v>217551.5</v>
      </c>
      <c r="V43" s="85">
        <f t="shared" ref="V43" si="131">SUM(V39:V42)</f>
        <v>231426.5</v>
      </c>
      <c r="W43" s="85">
        <f t="shared" ref="W43" si="132">SUM(W39:W42)</f>
        <v>252834.5</v>
      </c>
      <c r="X43" s="85">
        <f t="shared" ref="X43" si="133">SUM(X39:X42)</f>
        <v>282712.5</v>
      </c>
      <c r="Y43" s="85">
        <f t="shared" ref="Y43" si="134">SUM(Y39:Y42)</f>
        <v>322112.5</v>
      </c>
      <c r="Z43" s="85">
        <f t="shared" ref="Z43" si="135">SUM(Z39:Z42)</f>
        <v>372232.5</v>
      </c>
      <c r="AA43" s="85">
        <f t="shared" ref="AA43" si="136">SUM(AA39:AA42)</f>
        <v>594319.5</v>
      </c>
      <c r="AB43" s="85">
        <f t="shared" ref="AB43" si="137">SUM(AB39:AB42)</f>
        <v>869741.15</v>
      </c>
      <c r="AC43" s="85">
        <f t="shared" ref="AC43" si="138">SUM(AC39:AC42)</f>
        <v>1173162.45</v>
      </c>
      <c r="AD43" s="85">
        <f t="shared" ref="AD43" si="139">SUM(AD39:AD42)</f>
        <v>1579329.75</v>
      </c>
      <c r="AE43" s="92">
        <f t="shared" ref="AE43" si="140">SUM(AE39:AE42)</f>
        <v>2137089.75</v>
      </c>
      <c r="AF43" s="85">
        <f t="shared" ref="AF43" si="141">SUM(AF39:AF42)</f>
        <v>2796181.75</v>
      </c>
      <c r="AG43" s="85">
        <f t="shared" ref="AG43" si="142">SUM(AG39:AG42)</f>
        <v>3571802.75</v>
      </c>
      <c r="AH43" s="97">
        <f t="shared" ref="AH43" si="143">SUM(AH39:AH42)</f>
        <v>4481435.95</v>
      </c>
      <c r="AI43" s="85">
        <f t="shared" ref="AI43" si="144">SUM(AI39:AI42)</f>
        <v>8484205.3500000015</v>
      </c>
    </row>
    <row r="44" spans="1:35" x14ac:dyDescent="0.25">
      <c r="AE44" s="89"/>
      <c r="AH44" s="94"/>
    </row>
    <row r="45" spans="1:35" s="11" customFormat="1" ht="16.5" thickBot="1" x14ac:dyDescent="0.3">
      <c r="A45" s="11" t="s">
        <v>158</v>
      </c>
      <c r="C45" s="42">
        <f>C37+C43</f>
        <v>611558</v>
      </c>
      <c r="D45" s="42">
        <f t="shared" ref="D45:N45" si="145">D37+D43</f>
        <v>573116</v>
      </c>
      <c r="E45" s="42">
        <f t="shared" si="145"/>
        <v>534674</v>
      </c>
      <c r="F45" s="42">
        <f t="shared" si="145"/>
        <v>496232</v>
      </c>
      <c r="G45" s="42">
        <f t="shared" si="145"/>
        <v>457790</v>
      </c>
      <c r="H45" s="42">
        <f t="shared" si="145"/>
        <v>419348</v>
      </c>
      <c r="I45" s="42">
        <f t="shared" si="145"/>
        <v>399690</v>
      </c>
      <c r="J45" s="42">
        <f t="shared" si="145"/>
        <v>369637</v>
      </c>
      <c r="K45" s="42">
        <f t="shared" si="145"/>
        <v>345676</v>
      </c>
      <c r="L45" s="42">
        <f t="shared" si="145"/>
        <v>324305.5</v>
      </c>
      <c r="M45" s="42">
        <f t="shared" si="145"/>
        <v>302684.5</v>
      </c>
      <c r="N45" s="42">
        <f t="shared" si="145"/>
        <v>286713.5</v>
      </c>
      <c r="O45" s="42">
        <f t="shared" ref="O45:Z45" si="146">O37+O43</f>
        <v>268735.7</v>
      </c>
      <c r="P45" s="42">
        <f t="shared" si="146"/>
        <v>254256.5</v>
      </c>
      <c r="Q45" s="42">
        <f t="shared" si="146"/>
        <v>243759.3</v>
      </c>
      <c r="R45" s="42">
        <f t="shared" si="146"/>
        <v>237739.9</v>
      </c>
      <c r="S45" s="42">
        <f t="shared" si="146"/>
        <v>236756.1</v>
      </c>
      <c r="T45" s="42">
        <f t="shared" si="146"/>
        <v>241448.5</v>
      </c>
      <c r="U45" s="42">
        <f t="shared" si="146"/>
        <v>252518.3</v>
      </c>
      <c r="V45" s="42">
        <f t="shared" si="146"/>
        <v>270766.09999999998</v>
      </c>
      <c r="W45" s="42">
        <f t="shared" si="146"/>
        <v>297093.5</v>
      </c>
      <c r="X45" s="42">
        <f t="shared" si="146"/>
        <v>332504.7</v>
      </c>
      <c r="Y45" s="42">
        <f t="shared" si="146"/>
        <v>378127.9</v>
      </c>
      <c r="Z45" s="42">
        <f t="shared" si="146"/>
        <v>435253.5</v>
      </c>
      <c r="AA45" s="42">
        <f t="shared" ref="AA45:AD45" si="147">AA37+AA43</f>
        <v>666494.5</v>
      </c>
      <c r="AB45" s="42">
        <f t="shared" si="147"/>
        <v>959960.15</v>
      </c>
      <c r="AC45" s="42">
        <f t="shared" si="147"/>
        <v>1285937.45</v>
      </c>
      <c r="AD45" s="42">
        <f t="shared" si="147"/>
        <v>1720299.75</v>
      </c>
      <c r="AE45" s="93">
        <f t="shared" ref="AE45:AI45" si="148">AE37+AE43</f>
        <v>2302828.75</v>
      </c>
      <c r="AF45" s="42">
        <f t="shared" si="148"/>
        <v>2986781.75</v>
      </c>
      <c r="AG45" s="42">
        <f t="shared" si="148"/>
        <v>3790991.75</v>
      </c>
      <c r="AH45" s="98">
        <f t="shared" si="148"/>
        <v>4733503.95</v>
      </c>
      <c r="AI45" s="42">
        <f t="shared" si="148"/>
        <v>8763851.3500000015</v>
      </c>
    </row>
    <row r="46" spans="1:35" ht="16.5" thickTop="1" x14ac:dyDescent="0.25">
      <c r="AE46" s="89"/>
      <c r="AH46" s="94"/>
    </row>
    <row r="47" spans="1:35" x14ac:dyDescent="0.25">
      <c r="AE47" s="89"/>
      <c r="AH47" s="94"/>
    </row>
    <row r="48" spans="1:35" x14ac:dyDescent="0.25">
      <c r="C48" s="49">
        <f>C25-C45</f>
        <v>0</v>
      </c>
      <c r="D48" s="49">
        <f t="shared" ref="D48:N48" si="149">D25-D45</f>
        <v>0</v>
      </c>
      <c r="E48" s="49">
        <f t="shared" si="149"/>
        <v>0</v>
      </c>
      <c r="F48" s="49">
        <f t="shared" si="149"/>
        <v>0</v>
      </c>
      <c r="G48" s="49">
        <f t="shared" si="149"/>
        <v>0</v>
      </c>
      <c r="H48" s="49">
        <f t="shared" si="149"/>
        <v>0</v>
      </c>
      <c r="I48" s="49">
        <f t="shared" si="149"/>
        <v>0</v>
      </c>
      <c r="J48" s="49">
        <f t="shared" si="149"/>
        <v>0</v>
      </c>
      <c r="K48" s="49">
        <f t="shared" si="149"/>
        <v>0</v>
      </c>
      <c r="L48" s="49">
        <f t="shared" si="149"/>
        <v>0</v>
      </c>
      <c r="M48" s="49">
        <f t="shared" si="149"/>
        <v>0</v>
      </c>
      <c r="N48" s="49">
        <f t="shared" si="149"/>
        <v>0</v>
      </c>
      <c r="O48" s="49">
        <f t="shared" ref="O48:AD48" si="150">O25-O45</f>
        <v>0</v>
      </c>
      <c r="P48" s="49">
        <f t="shared" si="150"/>
        <v>0</v>
      </c>
      <c r="Q48" s="49">
        <f t="shared" si="150"/>
        <v>0</v>
      </c>
      <c r="R48" s="49">
        <f t="shared" si="150"/>
        <v>0</v>
      </c>
      <c r="S48" s="49">
        <f t="shared" si="150"/>
        <v>0</v>
      </c>
      <c r="T48" s="49">
        <f t="shared" si="150"/>
        <v>0</v>
      </c>
      <c r="U48" s="49">
        <f t="shared" si="150"/>
        <v>0</v>
      </c>
      <c r="V48" s="49">
        <f t="shared" si="150"/>
        <v>0</v>
      </c>
      <c r="W48" s="49">
        <f t="shared" si="150"/>
        <v>0</v>
      </c>
      <c r="X48" s="49">
        <f t="shared" si="150"/>
        <v>0</v>
      </c>
      <c r="Y48" s="49">
        <f t="shared" si="150"/>
        <v>0</v>
      </c>
      <c r="Z48" s="49">
        <f t="shared" si="150"/>
        <v>0</v>
      </c>
      <c r="AA48" s="49">
        <f t="shared" si="150"/>
        <v>0</v>
      </c>
      <c r="AB48" s="49">
        <f t="shared" si="150"/>
        <v>0</v>
      </c>
      <c r="AC48" s="49">
        <f t="shared" si="150"/>
        <v>0</v>
      </c>
      <c r="AD48" s="49">
        <f t="shared" si="150"/>
        <v>0</v>
      </c>
      <c r="AE48" s="59">
        <f t="shared" ref="AE48:AI48" si="151">AE25-AE45</f>
        <v>0</v>
      </c>
      <c r="AF48" s="49">
        <f t="shared" si="151"/>
        <v>0</v>
      </c>
      <c r="AG48" s="49">
        <f t="shared" si="151"/>
        <v>0</v>
      </c>
      <c r="AH48" s="73">
        <f t="shared" si="151"/>
        <v>0</v>
      </c>
      <c r="AI48" s="49">
        <f t="shared" si="151"/>
        <v>0</v>
      </c>
    </row>
  </sheetData>
  <mergeCells count="10">
    <mergeCell ref="C4:N4"/>
    <mergeCell ref="O4:Z4"/>
    <mergeCell ref="AA4:AD4"/>
    <mergeCell ref="AE4:AH4"/>
    <mergeCell ref="C1:N1"/>
    <mergeCell ref="O1:Z1"/>
    <mergeCell ref="AA1:AI1"/>
    <mergeCell ref="C2:N2"/>
    <mergeCell ref="O2:Z2"/>
    <mergeCell ref="AA2:AI2"/>
  </mergeCells>
  <pageMargins left="0.7" right="0.7" top="0.75" bottom="0.75" header="0.3" footer="0.3"/>
  <pageSetup scale="51" orientation="landscape" r:id="rId1"/>
  <colBreaks count="2" manualBreakCount="2">
    <brk id="14" max="44" man="1"/>
    <brk id="26" max="44"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L41"/>
  <sheetViews>
    <sheetView zoomScale="120" zoomScaleNormal="120" workbookViewId="0">
      <pane xSplit="1" ySplit="5" topLeftCell="J17" activePane="bottomRight" state="frozen"/>
      <selection pane="topRight" activeCell="B1" sqref="B1"/>
      <selection pane="bottomLeft" activeCell="A6" sqref="A6"/>
      <selection pane="bottomRight" activeCell="A35" sqref="A35:XFD35"/>
    </sheetView>
  </sheetViews>
  <sheetFormatPr defaultColWidth="9.140625" defaultRowHeight="15.75" x14ac:dyDescent="0.25"/>
  <cols>
    <col min="1" max="1" width="31.85546875" style="1" bestFit="1" customWidth="1"/>
    <col min="2" max="2" width="14.28515625" style="1" customWidth="1"/>
    <col min="3" max="3" width="12.140625" style="1" bestFit="1" customWidth="1"/>
    <col min="4" max="7" width="11.7109375" style="1" bestFit="1" customWidth="1"/>
    <col min="8" max="8" width="13.5703125" style="1" customWidth="1"/>
    <col min="9" max="9" width="12.7109375" style="1" bestFit="1" customWidth="1"/>
    <col min="10" max="10" width="13.85546875" style="1" bestFit="1" customWidth="1"/>
    <col min="11" max="11" width="12.7109375" style="1" bestFit="1" customWidth="1"/>
    <col min="12" max="12" width="13.42578125" style="1" bestFit="1" customWidth="1"/>
    <col min="13" max="13" width="13.140625" style="1" bestFit="1" customWidth="1"/>
    <col min="14" max="18" width="12.7109375" style="1" bestFit="1" customWidth="1"/>
    <col min="19" max="38" width="14" style="1" bestFit="1" customWidth="1"/>
    <col min="39" max="16384" width="9.140625" style="1"/>
  </cols>
  <sheetData>
    <row r="1" spans="1:38" s="29" customFormat="1" ht="18.75" x14ac:dyDescent="0.3">
      <c r="B1" s="130" t="s">
        <v>110</v>
      </c>
      <c r="C1" s="130"/>
      <c r="D1" s="130"/>
      <c r="E1" s="130"/>
      <c r="F1" s="130"/>
      <c r="G1" s="130"/>
      <c r="H1" s="130"/>
      <c r="I1" s="130"/>
      <c r="J1" s="130"/>
      <c r="K1" s="130"/>
      <c r="L1" s="130"/>
      <c r="M1" s="130"/>
      <c r="N1" s="130"/>
      <c r="O1" s="130" t="str">
        <f>B1</f>
        <v>Company Name</v>
      </c>
      <c r="P1" s="130"/>
      <c r="Q1" s="130"/>
      <c r="R1" s="130"/>
      <c r="S1" s="130"/>
      <c r="T1" s="130"/>
      <c r="U1" s="130"/>
      <c r="V1" s="130"/>
      <c r="W1" s="130"/>
      <c r="X1" s="130"/>
      <c r="Y1" s="130"/>
      <c r="Z1" s="130"/>
      <c r="AA1" s="130"/>
      <c r="AB1" s="130" t="str">
        <f>O1</f>
        <v>Company Name</v>
      </c>
      <c r="AC1" s="130"/>
      <c r="AD1" s="130"/>
      <c r="AE1" s="130"/>
      <c r="AF1" s="130"/>
      <c r="AG1" s="130"/>
      <c r="AH1" s="130"/>
      <c r="AI1" s="130"/>
      <c r="AJ1" s="130"/>
      <c r="AK1" s="130"/>
      <c r="AL1" s="130"/>
    </row>
    <row r="2" spans="1:38" s="29" customFormat="1" ht="18.75" x14ac:dyDescent="0.3">
      <c r="B2" s="118" t="s">
        <v>159</v>
      </c>
      <c r="C2" s="118"/>
      <c r="D2" s="118"/>
      <c r="E2" s="118"/>
      <c r="F2" s="118"/>
      <c r="G2" s="118"/>
      <c r="H2" s="118"/>
      <c r="I2" s="118"/>
      <c r="J2" s="118"/>
      <c r="K2" s="118"/>
      <c r="L2" s="118"/>
      <c r="M2" s="118"/>
      <c r="N2" s="118"/>
      <c r="O2" s="118" t="s">
        <v>159</v>
      </c>
      <c r="P2" s="118"/>
      <c r="Q2" s="118"/>
      <c r="R2" s="118"/>
      <c r="S2" s="118"/>
      <c r="T2" s="118"/>
      <c r="U2" s="118"/>
      <c r="V2" s="118"/>
      <c r="W2" s="118"/>
      <c r="X2" s="118"/>
      <c r="Y2" s="118"/>
      <c r="Z2" s="118"/>
      <c r="AA2" s="118"/>
      <c r="AB2" s="118" t="s">
        <v>159</v>
      </c>
      <c r="AC2" s="118"/>
      <c r="AD2" s="118"/>
      <c r="AE2" s="118"/>
      <c r="AF2" s="118"/>
      <c r="AG2" s="118"/>
      <c r="AH2" s="118"/>
      <c r="AI2" s="118"/>
      <c r="AJ2" s="118"/>
      <c r="AK2" s="118"/>
      <c r="AL2" s="118"/>
    </row>
    <row r="3" spans="1:38" s="29" customFormat="1" ht="18.75" x14ac:dyDescent="0.3"/>
    <row r="4" spans="1:38" s="78" customFormat="1" ht="18.75" x14ac:dyDescent="0.3">
      <c r="B4" s="130" t="s">
        <v>9</v>
      </c>
      <c r="C4" s="130"/>
      <c r="D4" s="130"/>
      <c r="E4" s="130"/>
      <c r="F4" s="130"/>
      <c r="G4" s="130"/>
      <c r="H4" s="130"/>
      <c r="I4" s="130"/>
      <c r="J4" s="130"/>
      <c r="K4" s="130"/>
      <c r="L4" s="130"/>
      <c r="M4" s="130"/>
      <c r="N4" s="130"/>
      <c r="O4" s="130" t="s">
        <v>25</v>
      </c>
      <c r="P4" s="130"/>
      <c r="Q4" s="130"/>
      <c r="R4" s="130"/>
      <c r="S4" s="130"/>
      <c r="T4" s="130"/>
      <c r="U4" s="130"/>
      <c r="V4" s="130"/>
      <c r="W4" s="130"/>
      <c r="X4" s="130"/>
      <c r="Y4" s="130"/>
      <c r="Z4" s="130"/>
      <c r="AA4" s="130"/>
      <c r="AB4" s="130" t="s">
        <v>26</v>
      </c>
      <c r="AC4" s="130"/>
      <c r="AD4" s="130"/>
      <c r="AE4" s="130"/>
      <c r="AF4" s="130"/>
      <c r="AG4" s="131" t="s">
        <v>112</v>
      </c>
      <c r="AH4" s="130"/>
      <c r="AI4" s="130"/>
      <c r="AJ4" s="130"/>
      <c r="AK4" s="132"/>
      <c r="AL4" s="79" t="s">
        <v>32</v>
      </c>
    </row>
    <row r="5" spans="1:38" s="32" customFormat="1" ht="18.75" x14ac:dyDescent="0.3">
      <c r="A5" s="31" t="s">
        <v>160</v>
      </c>
      <c r="B5" s="28" t="s">
        <v>10</v>
      </c>
      <c r="C5" s="28" t="s">
        <v>11</v>
      </c>
      <c r="D5" s="28" t="s">
        <v>12</v>
      </c>
      <c r="E5" s="28" t="s">
        <v>13</v>
      </c>
      <c r="F5" s="28" t="s">
        <v>14</v>
      </c>
      <c r="G5" s="28" t="s">
        <v>15</v>
      </c>
      <c r="H5" s="28" t="s">
        <v>16</v>
      </c>
      <c r="I5" s="28" t="s">
        <v>17</v>
      </c>
      <c r="J5" s="28" t="s">
        <v>18</v>
      </c>
      <c r="K5" s="28" t="s">
        <v>19</v>
      </c>
      <c r="L5" s="28" t="s">
        <v>20</v>
      </c>
      <c r="M5" s="28" t="s">
        <v>21</v>
      </c>
      <c r="N5" s="28" t="s">
        <v>22</v>
      </c>
      <c r="O5" s="28" t="s">
        <v>10</v>
      </c>
      <c r="P5" s="28" t="s">
        <v>11</v>
      </c>
      <c r="Q5" s="28" t="s">
        <v>12</v>
      </c>
      <c r="R5" s="28" t="s">
        <v>13</v>
      </c>
      <c r="S5" s="28" t="s">
        <v>14</v>
      </c>
      <c r="T5" s="28" t="s">
        <v>15</v>
      </c>
      <c r="U5" s="28" t="s">
        <v>16</v>
      </c>
      <c r="V5" s="28" t="s">
        <v>17</v>
      </c>
      <c r="W5" s="28" t="s">
        <v>18</v>
      </c>
      <c r="X5" s="28" t="s">
        <v>19</v>
      </c>
      <c r="Y5" s="28" t="s">
        <v>20</v>
      </c>
      <c r="Z5" s="28" t="s">
        <v>21</v>
      </c>
      <c r="AA5" s="28" t="s">
        <v>22</v>
      </c>
      <c r="AB5" s="28" t="s">
        <v>27</v>
      </c>
      <c r="AC5" s="28" t="s">
        <v>28</v>
      </c>
      <c r="AD5" s="28" t="s">
        <v>29</v>
      </c>
      <c r="AE5" s="28" t="s">
        <v>30</v>
      </c>
      <c r="AF5" s="28" t="s">
        <v>22</v>
      </c>
      <c r="AG5" s="53" t="s">
        <v>27</v>
      </c>
      <c r="AH5" s="28" t="s">
        <v>28</v>
      </c>
      <c r="AI5" s="28" t="s">
        <v>29</v>
      </c>
      <c r="AJ5" s="28" t="s">
        <v>30</v>
      </c>
      <c r="AK5" s="67" t="s">
        <v>22</v>
      </c>
      <c r="AL5" s="28" t="s">
        <v>22</v>
      </c>
    </row>
    <row r="6" spans="1:38" x14ac:dyDescent="0.25">
      <c r="AG6" s="89"/>
      <c r="AK6" s="94"/>
    </row>
    <row r="7" spans="1:38" x14ac:dyDescent="0.25">
      <c r="A7" s="1" t="s">
        <v>161</v>
      </c>
      <c r="B7" s="49">
        <f>'Income Statement'!B67</f>
        <v>-163442</v>
      </c>
      <c r="C7" s="49">
        <f>'Income Statement'!C67</f>
        <v>-38442</v>
      </c>
      <c r="D7" s="49">
        <f>'Income Statement'!D67</f>
        <v>-38442</v>
      </c>
      <c r="E7" s="49">
        <f>'Income Statement'!E67</f>
        <v>-38442</v>
      </c>
      <c r="F7" s="49">
        <f>'Income Statement'!F67</f>
        <v>-38442</v>
      </c>
      <c r="G7" s="49">
        <f>'Income Statement'!G67</f>
        <v>-38442</v>
      </c>
      <c r="H7" s="49">
        <f>'Income Statement'!H67</f>
        <v>-27632</v>
      </c>
      <c r="I7" s="49">
        <f>'Income Statement'!I67</f>
        <v>-30260</v>
      </c>
      <c r="J7" s="49">
        <f>'Income Statement'!J67</f>
        <v>-26287.5</v>
      </c>
      <c r="K7" s="49">
        <f>'Income Statement'!K67</f>
        <v>-23445</v>
      </c>
      <c r="L7" s="49">
        <f>'Income Statement'!L67</f>
        <v>-22035</v>
      </c>
      <c r="M7" s="49">
        <f>'Income Statement'!M67</f>
        <v>-18275</v>
      </c>
      <c r="N7" s="49">
        <f>SUM(B7:M7)</f>
        <v>-503586.5</v>
      </c>
      <c r="O7" s="49">
        <f>'Income Statement'!O67</f>
        <v>-19926</v>
      </c>
      <c r="P7" s="49">
        <f>'Income Statement'!P67</f>
        <v>-16632</v>
      </c>
      <c r="Q7" s="49">
        <f>'Income Statement'!Q67</f>
        <v>-12923</v>
      </c>
      <c r="R7" s="49">
        <f>'Income Statement'!R67</f>
        <v>-8747</v>
      </c>
      <c r="S7" s="49">
        <f>'Income Statement'!S67</f>
        <v>-4054</v>
      </c>
      <c r="T7" s="49">
        <f>'Income Statement'!T67</f>
        <v>1237</v>
      </c>
      <c r="U7" s="49">
        <f>'Income Statement'!U67</f>
        <v>7183</v>
      </c>
      <c r="V7" s="49">
        <f>'Income Statement'!V67</f>
        <v>13875</v>
      </c>
      <c r="W7" s="49">
        <f>'Income Statement'!W67</f>
        <v>21408</v>
      </c>
      <c r="X7" s="49">
        <f>'Income Statement'!X67</f>
        <v>29878</v>
      </c>
      <c r="Y7" s="49">
        <f>'Income Statement'!Y67</f>
        <v>39400</v>
      </c>
      <c r="Z7" s="49">
        <f>'Income Statement'!Z67</f>
        <v>50120</v>
      </c>
      <c r="AA7" s="49">
        <f>SUM(O7:Z7)</f>
        <v>100819</v>
      </c>
      <c r="AB7" s="49">
        <f>'Income Statement'!AB67</f>
        <v>222087</v>
      </c>
      <c r="AC7" s="49">
        <f>'Income Statement'!AC67</f>
        <v>275421.65000000002</v>
      </c>
      <c r="AD7" s="49">
        <f>'Income Statement'!AD67</f>
        <v>303421.3</v>
      </c>
      <c r="AE7" s="49">
        <f>'Income Statement'!AE67</f>
        <v>406167.30000000005</v>
      </c>
      <c r="AF7" s="49">
        <f>'Income Statement'!AF67</f>
        <v>1207097.25</v>
      </c>
      <c r="AG7" s="59">
        <f>'Income Statement'!AG67</f>
        <v>557760</v>
      </c>
      <c r="AH7" s="49">
        <f>'Income Statement'!AH67</f>
        <v>659092</v>
      </c>
      <c r="AI7" s="49">
        <f>'Income Statement'!AI67</f>
        <v>775621</v>
      </c>
      <c r="AJ7" s="49">
        <f>'Income Statement'!AJ67</f>
        <v>909633.2</v>
      </c>
      <c r="AK7" s="73">
        <f>'Income Statement'!AK67</f>
        <v>2902106.2</v>
      </c>
      <c r="AL7" s="49">
        <f>'Income Statement'!AL67</f>
        <v>4002769.4000000004</v>
      </c>
    </row>
    <row r="8" spans="1:38" x14ac:dyDescent="0.25">
      <c r="A8" s="1" t="str">
        <f>'Income Statement'!A43</f>
        <v>Depreciation Expense</v>
      </c>
      <c r="B8" s="43">
        <f>'Income Statement'!B43</f>
        <v>817</v>
      </c>
      <c r="C8" s="43">
        <f>'Income Statement'!C43</f>
        <v>817</v>
      </c>
      <c r="D8" s="43">
        <f>'Income Statement'!D43</f>
        <v>817</v>
      </c>
      <c r="E8" s="43">
        <f>'Income Statement'!E43</f>
        <v>817</v>
      </c>
      <c r="F8" s="43">
        <f>'Income Statement'!F43</f>
        <v>817</v>
      </c>
      <c r="G8" s="43">
        <f>'Income Statement'!G43</f>
        <v>817</v>
      </c>
      <c r="H8" s="43">
        <f>'Income Statement'!H43</f>
        <v>817</v>
      </c>
      <c r="I8" s="43">
        <f>'Income Statement'!I43</f>
        <v>817</v>
      </c>
      <c r="J8" s="43">
        <f>'Income Statement'!J43</f>
        <v>817</v>
      </c>
      <c r="K8" s="43">
        <f>'Income Statement'!K43</f>
        <v>817</v>
      </c>
      <c r="L8" s="43">
        <f>'Income Statement'!L43</f>
        <v>817</v>
      </c>
      <c r="M8" s="43">
        <f>'Income Statement'!M43</f>
        <v>817</v>
      </c>
      <c r="N8" s="43">
        <f>SUM(B8:M8)</f>
        <v>9804</v>
      </c>
      <c r="O8" s="43">
        <f>'Income Statement'!O43</f>
        <v>858</v>
      </c>
      <c r="P8" s="43">
        <f>'Income Statement'!P43</f>
        <v>858</v>
      </c>
      <c r="Q8" s="43">
        <f>'Income Statement'!Q43</f>
        <v>858</v>
      </c>
      <c r="R8" s="43">
        <f>'Income Statement'!R43</f>
        <v>858</v>
      </c>
      <c r="S8" s="43">
        <f>'Income Statement'!S43</f>
        <v>858</v>
      </c>
      <c r="T8" s="43">
        <f>'Income Statement'!T43</f>
        <v>858</v>
      </c>
      <c r="U8" s="43">
        <f>'Income Statement'!U43</f>
        <v>858</v>
      </c>
      <c r="V8" s="43">
        <f>'Income Statement'!V43</f>
        <v>858</v>
      </c>
      <c r="W8" s="43">
        <f>'Income Statement'!W43</f>
        <v>858</v>
      </c>
      <c r="X8" s="43">
        <f>'Income Statement'!X43</f>
        <v>858</v>
      </c>
      <c r="Y8" s="43">
        <f>'Income Statement'!Y43</f>
        <v>858</v>
      </c>
      <c r="Z8" s="43">
        <f>'Income Statement'!Z43</f>
        <v>858</v>
      </c>
      <c r="AA8" s="43">
        <f>SUM(O8:Z8)</f>
        <v>10296</v>
      </c>
      <c r="AB8" s="43">
        <f>'Income Statement'!AB43</f>
        <v>2800</v>
      </c>
      <c r="AC8" s="43">
        <f>'Income Statement'!AC43</f>
        <v>2800</v>
      </c>
      <c r="AD8" s="43">
        <f>'Income Statement'!AD43</f>
        <v>2800</v>
      </c>
      <c r="AE8" s="43">
        <f>'Income Statement'!AE43</f>
        <v>2800</v>
      </c>
      <c r="AF8" s="43">
        <f>'Income Statement'!AF43</f>
        <v>11200</v>
      </c>
      <c r="AG8" s="55">
        <f>'Income Statement'!AG43</f>
        <v>3600</v>
      </c>
      <c r="AH8" s="43">
        <f>'Income Statement'!AH43</f>
        <v>3600</v>
      </c>
      <c r="AI8" s="43">
        <f>'Income Statement'!AI43</f>
        <v>3600</v>
      </c>
      <c r="AJ8" s="43">
        <f>'Income Statement'!AJ43</f>
        <v>3600</v>
      </c>
      <c r="AK8" s="69">
        <f>'Income Statement'!AK43</f>
        <v>14400</v>
      </c>
      <c r="AL8" s="43">
        <f>'Income Statement'!AL43</f>
        <v>15300</v>
      </c>
    </row>
    <row r="9" spans="1:38" x14ac:dyDescent="0.25">
      <c r="A9" s="1" t="str">
        <f>'Income Statement'!A44</f>
        <v xml:space="preserve">Amortization Expense </v>
      </c>
      <c r="B9" s="43">
        <f>'Income Statement'!B44</f>
        <v>83</v>
      </c>
      <c r="C9" s="43">
        <f>'Income Statement'!C44</f>
        <v>83</v>
      </c>
      <c r="D9" s="43">
        <f>'Income Statement'!D44</f>
        <v>83</v>
      </c>
      <c r="E9" s="43">
        <f>'Income Statement'!E44</f>
        <v>83</v>
      </c>
      <c r="F9" s="43">
        <f>'Income Statement'!F44</f>
        <v>83</v>
      </c>
      <c r="G9" s="43">
        <f>'Income Statement'!G44</f>
        <v>83</v>
      </c>
      <c r="H9" s="43">
        <f>'Income Statement'!H44</f>
        <v>83</v>
      </c>
      <c r="I9" s="43">
        <f>'Income Statement'!I44</f>
        <v>83</v>
      </c>
      <c r="J9" s="43">
        <f>'Income Statement'!J44</f>
        <v>83</v>
      </c>
      <c r="K9" s="43">
        <f>'Income Statement'!K44</f>
        <v>83</v>
      </c>
      <c r="L9" s="43">
        <f>'Income Statement'!L44</f>
        <v>83</v>
      </c>
      <c r="M9" s="43">
        <f>'Income Statement'!M44</f>
        <v>83</v>
      </c>
      <c r="N9" s="43">
        <f>SUM(B9:M9)</f>
        <v>996</v>
      </c>
      <c r="O9" s="43">
        <f>'Income Statement'!O44</f>
        <v>83</v>
      </c>
      <c r="P9" s="43">
        <f>'Income Statement'!P44</f>
        <v>83</v>
      </c>
      <c r="Q9" s="43">
        <f>'Income Statement'!Q44</f>
        <v>83</v>
      </c>
      <c r="R9" s="43">
        <f>'Income Statement'!R44</f>
        <v>83</v>
      </c>
      <c r="S9" s="43">
        <f>'Income Statement'!S44</f>
        <v>83</v>
      </c>
      <c r="T9" s="43">
        <f>'Income Statement'!T44</f>
        <v>83</v>
      </c>
      <c r="U9" s="43">
        <f>'Income Statement'!U44</f>
        <v>83</v>
      </c>
      <c r="V9" s="43">
        <f>'Income Statement'!V44</f>
        <v>83</v>
      </c>
      <c r="W9" s="43">
        <f>'Income Statement'!W44</f>
        <v>83</v>
      </c>
      <c r="X9" s="43">
        <f>'Income Statement'!X44</f>
        <v>83</v>
      </c>
      <c r="Y9" s="43">
        <f>'Income Statement'!Y44</f>
        <v>83</v>
      </c>
      <c r="Z9" s="43">
        <f>'Income Statement'!Z44</f>
        <v>83</v>
      </c>
      <c r="AA9" s="43">
        <f>SUM(O9:Z9)</f>
        <v>996</v>
      </c>
      <c r="AB9" s="43">
        <f>'Income Statement'!AB44</f>
        <v>250</v>
      </c>
      <c r="AC9" s="43">
        <f>'Income Statement'!AC44</f>
        <v>250</v>
      </c>
      <c r="AD9" s="43">
        <f>'Income Statement'!AD44</f>
        <v>250</v>
      </c>
      <c r="AE9" s="43">
        <f>'Income Statement'!AE44</f>
        <v>250</v>
      </c>
      <c r="AF9" s="43">
        <f>'Income Statement'!AF44</f>
        <v>1000</v>
      </c>
      <c r="AG9" s="55">
        <f>'Income Statement'!AG44</f>
        <v>250</v>
      </c>
      <c r="AH9" s="43">
        <f>'Income Statement'!AH44</f>
        <v>250</v>
      </c>
      <c r="AI9" s="43">
        <f>'Income Statement'!AI44</f>
        <v>250</v>
      </c>
      <c r="AJ9" s="43">
        <f>'Income Statement'!AJ44</f>
        <v>250</v>
      </c>
      <c r="AK9" s="69">
        <f>'Income Statement'!AK44</f>
        <v>1000</v>
      </c>
      <c r="AL9" s="43">
        <f>'Income Statement'!AL44</f>
        <v>1000</v>
      </c>
    </row>
    <row r="10" spans="1:38" x14ac:dyDescent="0.25">
      <c r="A10" s="86" t="s">
        <v>162</v>
      </c>
      <c r="B10" s="43">
        <f>0-'Balance Sheet'!C9</f>
        <v>0</v>
      </c>
      <c r="C10" s="43">
        <f>'Balance Sheet'!C9-'Balance Sheet'!D9</f>
        <v>0</v>
      </c>
      <c r="D10" s="43">
        <f>'Balance Sheet'!D9-'Balance Sheet'!E9</f>
        <v>0</v>
      </c>
      <c r="E10" s="43">
        <f>'Balance Sheet'!E9-'Balance Sheet'!F9</f>
        <v>0</v>
      </c>
      <c r="F10" s="43">
        <f>'Balance Sheet'!F9-'Balance Sheet'!G9</f>
        <v>0</v>
      </c>
      <c r="G10" s="43">
        <f>'Balance Sheet'!G9-'Balance Sheet'!H9</f>
        <v>0</v>
      </c>
      <c r="H10" s="43">
        <f>'Balance Sheet'!H9-'Balance Sheet'!I9</f>
        <v>-12050</v>
      </c>
      <c r="I10" s="43">
        <f>'Balance Sheet'!I9-'Balance Sheet'!J9</f>
        <v>-525</v>
      </c>
      <c r="J10" s="43">
        <f>'Balance Sheet'!J9-'Balance Sheet'!K9</f>
        <v>-3925</v>
      </c>
      <c r="K10" s="43">
        <f>'Balance Sheet'!K9-'Balance Sheet'!L9</f>
        <v>-3150</v>
      </c>
      <c r="L10" s="43">
        <f>'Balance Sheet'!L9-'Balance Sheet'!M9</f>
        <v>-1050</v>
      </c>
      <c r="M10" s="43">
        <f>'Balance Sheet'!M9-'Balance Sheet'!N9</f>
        <v>-3800</v>
      </c>
      <c r="N10" s="43">
        <f>0-'Balance Sheet'!N9</f>
        <v>-24500</v>
      </c>
      <c r="O10" s="43">
        <f>'Balance Sheet'!N9-'Balance Sheet'!O9</f>
        <v>-3070</v>
      </c>
      <c r="P10" s="43">
        <f>'Balance Sheet'!O9-'Balance Sheet'!P9</f>
        <v>-3441</v>
      </c>
      <c r="Q10" s="43">
        <f>'Balance Sheet'!P9-'Balance Sheet'!Q9</f>
        <v>-3876</v>
      </c>
      <c r="R10" s="43">
        <f>'Balance Sheet'!Q9-'Balance Sheet'!R9</f>
        <v>-4361</v>
      </c>
      <c r="S10" s="43">
        <f>'Balance Sheet'!R9-'Balance Sheet'!S9</f>
        <v>-4905</v>
      </c>
      <c r="T10" s="43">
        <f>'Balance Sheet'!S9-'Balance Sheet'!T9</f>
        <v>-5525</v>
      </c>
      <c r="U10" s="43">
        <f>'Balance Sheet'!T9-'Balance Sheet'!U9</f>
        <v>-6212</v>
      </c>
      <c r="V10" s="43">
        <f>'Balance Sheet'!U9-'Balance Sheet'!V9</f>
        <v>-6990</v>
      </c>
      <c r="W10" s="43">
        <f>'Balance Sheet'!V9-'Balance Sheet'!W9</f>
        <v>-7866</v>
      </c>
      <c r="X10" s="43">
        <f>'Balance Sheet'!W9-'Balance Sheet'!X9</f>
        <v>-8846</v>
      </c>
      <c r="Y10" s="43">
        <f>'Balance Sheet'!X9-'Balance Sheet'!Y9</f>
        <v>-9947</v>
      </c>
      <c r="Z10" s="43">
        <f>'Balance Sheet'!Y9-'Balance Sheet'!Z9</f>
        <v>-11198</v>
      </c>
      <c r="AA10" s="43">
        <f>'Balance Sheet'!N9-'Balance Sheet'!Z9</f>
        <v>-76237</v>
      </c>
      <c r="AB10" s="43">
        <f>'Balance Sheet'!Z9-'Balance Sheet'!AA9</f>
        <v>-22034</v>
      </c>
      <c r="AC10" s="43">
        <f>'Balance Sheet'!AA9-'Balance Sheet'!AB9</f>
        <v>-30693</v>
      </c>
      <c r="AD10" s="43">
        <f>'Balance Sheet'!AB9-'Balance Sheet'!AC9</f>
        <v>-38369</v>
      </c>
      <c r="AE10" s="43">
        <f>'Balance Sheet'!AC9-'Balance Sheet'!AD9</f>
        <v>-47959</v>
      </c>
      <c r="AF10" s="43">
        <f>'Balance Sheet'!Z9-'Balance Sheet'!AD9</f>
        <v>-139055</v>
      </c>
      <c r="AG10" s="55">
        <f>'Balance Sheet'!AD9-'Balance Sheet'!AE9</f>
        <v>-59165</v>
      </c>
      <c r="AH10" s="43">
        <f>'Balance Sheet'!AE9-'Balance Sheet'!AF9</f>
        <v>-44845</v>
      </c>
      <c r="AI10" s="43">
        <f>'Balance Sheet'!AF9-'Balance Sheet'!AG9</f>
        <v>-51569</v>
      </c>
      <c r="AJ10" s="43">
        <f>'Balance Sheet'!AG9-'Balance Sheet'!AH9</f>
        <v>-59307</v>
      </c>
      <c r="AK10" s="69">
        <f>'Balance Sheet'!AD9-'Balance Sheet'!AH9</f>
        <v>-214886</v>
      </c>
      <c r="AL10" s="43">
        <f>'Balance Sheet'!AH9-'Balance Sheet'!AI9</f>
        <v>-49307</v>
      </c>
    </row>
    <row r="11" spans="1:38" x14ac:dyDescent="0.25">
      <c r="A11" s="87" t="s">
        <v>163</v>
      </c>
      <c r="B11" s="43">
        <f>0-'Balance Sheet'!C10</f>
        <v>0</v>
      </c>
      <c r="C11" s="43">
        <f>'Balance Sheet'!C10-'Balance Sheet'!D10</f>
        <v>0</v>
      </c>
      <c r="D11" s="43">
        <f>'Balance Sheet'!D10-'Balance Sheet'!E10</f>
        <v>0</v>
      </c>
      <c r="E11" s="43">
        <f>'Balance Sheet'!E10-'Balance Sheet'!F10</f>
        <v>0</v>
      </c>
      <c r="F11" s="43">
        <f>'Balance Sheet'!F10-'Balance Sheet'!G10</f>
        <v>0</v>
      </c>
      <c r="G11" s="43">
        <f>'Balance Sheet'!G10-'Balance Sheet'!H10</f>
        <v>0</v>
      </c>
      <c r="H11" s="43">
        <f>'Balance Sheet'!H10-'Balance Sheet'!I10</f>
        <v>-5316</v>
      </c>
      <c r="I11" s="43">
        <f>'Balance Sheet'!I10-'Balance Sheet'!J10</f>
        <v>-138</v>
      </c>
      <c r="J11" s="43">
        <f>'Balance Sheet'!J10-'Balance Sheet'!K10</f>
        <v>-1551</v>
      </c>
      <c r="K11" s="43">
        <f>'Balance Sheet'!K10-'Balance Sheet'!L10</f>
        <v>-1383</v>
      </c>
      <c r="L11" s="43">
        <f>'Balance Sheet'!L10-'Balance Sheet'!M10</f>
        <v>-276</v>
      </c>
      <c r="M11" s="43">
        <f>'Balance Sheet'!M10-'Balance Sheet'!N10</f>
        <v>-1536</v>
      </c>
      <c r="N11" s="43">
        <f>0-'Balance Sheet'!N10</f>
        <v>-10200</v>
      </c>
      <c r="O11" s="43">
        <f>'Balance Sheet'!N10-'Balance Sheet'!O10</f>
        <v>-1299</v>
      </c>
      <c r="P11" s="43">
        <f>'Balance Sheet'!O10-'Balance Sheet'!P10</f>
        <v>-1435</v>
      </c>
      <c r="Q11" s="43">
        <f>'Balance Sheet'!P10-'Balance Sheet'!Q10</f>
        <v>-1617</v>
      </c>
      <c r="R11" s="43">
        <f>'Balance Sheet'!Q10-'Balance Sheet'!R10</f>
        <v>-1819</v>
      </c>
      <c r="S11" s="43">
        <f>'Balance Sheet'!R10-'Balance Sheet'!S10</f>
        <v>-2046</v>
      </c>
      <c r="T11" s="43">
        <f>'Balance Sheet'!S10-'Balance Sheet'!T10</f>
        <v>-2304</v>
      </c>
      <c r="U11" s="43">
        <f>'Balance Sheet'!T10-'Balance Sheet'!U10</f>
        <v>-2591</v>
      </c>
      <c r="V11" s="43">
        <f>'Balance Sheet'!U10-'Balance Sheet'!V10</f>
        <v>-2915</v>
      </c>
      <c r="W11" s="43">
        <f>'Balance Sheet'!V10-'Balance Sheet'!W10</f>
        <v>-3280</v>
      </c>
      <c r="X11" s="43">
        <f>'Balance Sheet'!W10-'Balance Sheet'!X10</f>
        <v>-3689</v>
      </c>
      <c r="Y11" s="43">
        <f>'Balance Sheet'!X10-'Balance Sheet'!Y10</f>
        <v>-4149</v>
      </c>
      <c r="Z11" s="43">
        <f>'Balance Sheet'!Y10-'Balance Sheet'!Z10</f>
        <v>-4670</v>
      </c>
      <c r="AA11" s="43">
        <f>'Balance Sheet'!N10-'Balance Sheet'!Z10</f>
        <v>-31814</v>
      </c>
      <c r="AB11" s="43">
        <f>'Balance Sheet'!Z10-'Balance Sheet'!AA10</f>
        <v>-6103</v>
      </c>
      <c r="AC11" s="43">
        <f>'Balance Sheet'!AA10-'Balance Sheet'!AB10</f>
        <v>-12029</v>
      </c>
      <c r="AD11" s="43">
        <f>'Balance Sheet'!AB10-'Balance Sheet'!AC10</f>
        <v>-15037</v>
      </c>
      <c r="AE11" s="43">
        <f>'Balance Sheet'!AC10-'Balance Sheet'!AD10</f>
        <v>-18797</v>
      </c>
      <c r="AF11" s="43">
        <f>'Balance Sheet'!Z10-'Balance Sheet'!AD10</f>
        <v>-51966</v>
      </c>
      <c r="AG11" s="55">
        <f>'Balance Sheet'!AD10-'Balance Sheet'!AE10</f>
        <v>-16512</v>
      </c>
      <c r="AH11" s="43">
        <f>'Balance Sheet'!AE10-'Balance Sheet'!AF10</f>
        <v>-16575</v>
      </c>
      <c r="AI11" s="43">
        <f>'Balance Sheet'!AF10-'Balance Sheet'!AG10</f>
        <v>-19059</v>
      </c>
      <c r="AJ11" s="43">
        <f>'Balance Sheet'!AG10-'Balance Sheet'!AH10</f>
        <v>-21919</v>
      </c>
      <c r="AK11" s="69">
        <f>'Balance Sheet'!AD10-'Balance Sheet'!AH10</f>
        <v>-74065</v>
      </c>
      <c r="AL11" s="43">
        <f>'Balance Sheet'!AH10-'Balance Sheet'!AI10</f>
        <v>-18386</v>
      </c>
    </row>
    <row r="12" spans="1:38" x14ac:dyDescent="0.25">
      <c r="A12" s="87" t="s">
        <v>164</v>
      </c>
      <c r="B12" s="44">
        <f>'Balance Sheet'!C30-0</f>
        <v>0</v>
      </c>
      <c r="C12" s="44">
        <f>'Balance Sheet'!D30-'Balance Sheet'!C30</f>
        <v>0</v>
      </c>
      <c r="D12" s="44">
        <f>'Balance Sheet'!E30-'Balance Sheet'!D30</f>
        <v>0</v>
      </c>
      <c r="E12" s="44">
        <f>'Balance Sheet'!F30-'Balance Sheet'!E30</f>
        <v>0</v>
      </c>
      <c r="F12" s="44">
        <f>'Balance Sheet'!G30-'Balance Sheet'!F30</f>
        <v>0</v>
      </c>
      <c r="G12" s="44">
        <f>'Balance Sheet'!H30-'Balance Sheet'!G30</f>
        <v>0</v>
      </c>
      <c r="H12" s="44">
        <f>'Balance Sheet'!I30-'Balance Sheet'!H30</f>
        <v>7974</v>
      </c>
      <c r="I12" s="44">
        <f>'Balance Sheet'!J30-'Balance Sheet'!I30</f>
        <v>207</v>
      </c>
      <c r="J12" s="44">
        <f>'Balance Sheet'!K30-'Balance Sheet'!J30</f>
        <v>2326.5</v>
      </c>
      <c r="K12" s="44">
        <f>'Balance Sheet'!L30-'Balance Sheet'!K30</f>
        <v>2074.5</v>
      </c>
      <c r="L12" s="44">
        <f>'Balance Sheet'!M30-'Balance Sheet'!L30</f>
        <v>414</v>
      </c>
      <c r="M12" s="44">
        <f>'Balance Sheet'!N30-'Balance Sheet'!M30</f>
        <v>2304</v>
      </c>
      <c r="N12" s="44">
        <f>'Balance Sheet'!N30-0</f>
        <v>15300</v>
      </c>
      <c r="O12" s="44">
        <f>'Balance Sheet'!O30-'Balance Sheet'!N30</f>
        <v>1948.2000000000007</v>
      </c>
      <c r="P12" s="44">
        <f>'Balance Sheet'!P30-'Balance Sheet'!O30</f>
        <v>2152.7999999999993</v>
      </c>
      <c r="Q12" s="44">
        <f>'Balance Sheet'!Q30-'Balance Sheet'!P30</f>
        <v>2425.7999999999993</v>
      </c>
      <c r="R12" s="44">
        <f>'Balance Sheet'!R30-'Balance Sheet'!Q30</f>
        <v>2727.5999999999985</v>
      </c>
      <c r="S12" s="44">
        <f>'Balance Sheet'!S30-'Balance Sheet'!R30</f>
        <v>3070.2000000000007</v>
      </c>
      <c r="T12" s="44">
        <f>'Balance Sheet'!T30-'Balance Sheet'!S30</f>
        <v>3455.4000000000015</v>
      </c>
      <c r="U12" s="44">
        <f>'Balance Sheet'!U30-'Balance Sheet'!T30</f>
        <v>3886.7999999999956</v>
      </c>
      <c r="V12" s="44">
        <f>'Balance Sheet'!V30-'Balance Sheet'!U30</f>
        <v>4372.8000000000029</v>
      </c>
      <c r="W12" s="44">
        <f>'Balance Sheet'!W30-'Balance Sheet'!V30</f>
        <v>4919.4000000000015</v>
      </c>
      <c r="X12" s="44">
        <f>'Balance Sheet'!X30-'Balance Sheet'!W30</f>
        <v>5533.1999999999971</v>
      </c>
      <c r="Y12" s="44">
        <f>'Balance Sheet'!Y30-'Balance Sheet'!X30</f>
        <v>6223.2000000000044</v>
      </c>
      <c r="Z12" s="44">
        <f>'Balance Sheet'!Z30-'Balance Sheet'!Y30</f>
        <v>7005.5999999999985</v>
      </c>
      <c r="AA12" s="44">
        <f>'Balance Sheet'!Z30-'Balance Sheet'!N30</f>
        <v>47721</v>
      </c>
      <c r="AB12" s="44">
        <f>'Balance Sheet'!AA30-'Balance Sheet'!Z30</f>
        <v>9154</v>
      </c>
      <c r="AC12" s="44">
        <f>'Balance Sheet'!AB30-'Balance Sheet'!AA30</f>
        <v>18044</v>
      </c>
      <c r="AD12" s="44">
        <f>'Balance Sheet'!AC30-'Balance Sheet'!AB30</f>
        <v>22556</v>
      </c>
      <c r="AE12" s="44">
        <f>'Balance Sheet'!AD30-'Balance Sheet'!AC30</f>
        <v>28195</v>
      </c>
      <c r="AF12" s="44">
        <f>'Balance Sheet'!AD30-'Balance Sheet'!Z30</f>
        <v>77949</v>
      </c>
      <c r="AG12" s="56">
        <f>'Balance Sheet'!AE30-'Balance Sheet'!AD30</f>
        <v>24769</v>
      </c>
      <c r="AH12" s="44">
        <f>'Balance Sheet'!AF30-'Balance Sheet'!AE30</f>
        <v>24861</v>
      </c>
      <c r="AI12" s="44">
        <f>'Balance Sheet'!AG30-'Balance Sheet'!AF30</f>
        <v>28589</v>
      </c>
      <c r="AJ12" s="44">
        <f>'Balance Sheet'!AH30-'Balance Sheet'!AG30</f>
        <v>32879</v>
      </c>
      <c r="AK12" s="70">
        <f>'Balance Sheet'!AH30-'Balance Sheet'!AD30</f>
        <v>111098</v>
      </c>
      <c r="AL12" s="44">
        <f>'Balance Sheet'!AI30-'Balance Sheet'!AH30</f>
        <v>27578</v>
      </c>
    </row>
    <row r="13" spans="1:38" x14ac:dyDescent="0.25">
      <c r="AG13" s="89"/>
      <c r="AK13" s="94"/>
    </row>
    <row r="14" spans="1:38" s="11" customFormat="1" x14ac:dyDescent="0.25">
      <c r="A14" s="11" t="s">
        <v>165</v>
      </c>
      <c r="B14" s="48">
        <f>SUM(B7:B13)</f>
        <v>-162542</v>
      </c>
      <c r="C14" s="48">
        <f t="shared" ref="C14:N14" si="0">SUM(C7:C13)</f>
        <v>-37542</v>
      </c>
      <c r="D14" s="48">
        <f t="shared" si="0"/>
        <v>-37542</v>
      </c>
      <c r="E14" s="48">
        <f t="shared" si="0"/>
        <v>-37542</v>
      </c>
      <c r="F14" s="48">
        <f t="shared" si="0"/>
        <v>-37542</v>
      </c>
      <c r="G14" s="48">
        <f t="shared" si="0"/>
        <v>-37542</v>
      </c>
      <c r="H14" s="48">
        <f t="shared" si="0"/>
        <v>-36124</v>
      </c>
      <c r="I14" s="48">
        <f t="shared" si="0"/>
        <v>-29816</v>
      </c>
      <c r="J14" s="48">
        <f t="shared" si="0"/>
        <v>-28537</v>
      </c>
      <c r="K14" s="48">
        <f t="shared" si="0"/>
        <v>-25003.5</v>
      </c>
      <c r="L14" s="48">
        <f t="shared" si="0"/>
        <v>-22047</v>
      </c>
      <c r="M14" s="48">
        <f t="shared" si="0"/>
        <v>-20407</v>
      </c>
      <c r="N14" s="48">
        <f t="shared" si="0"/>
        <v>-512186.5</v>
      </c>
      <c r="O14" s="48">
        <f>SUM(O7:O13)</f>
        <v>-21405.8</v>
      </c>
      <c r="P14" s="48">
        <f t="shared" ref="P14" si="1">SUM(P7:P13)</f>
        <v>-18414.2</v>
      </c>
      <c r="Q14" s="48">
        <f t="shared" ref="Q14" si="2">SUM(Q7:Q13)</f>
        <v>-15049.2</v>
      </c>
      <c r="R14" s="48">
        <f t="shared" ref="R14" si="3">SUM(R7:R13)</f>
        <v>-11258.400000000001</v>
      </c>
      <c r="S14" s="48">
        <f t="shared" ref="S14" si="4">SUM(S7:S13)</f>
        <v>-6993.7999999999993</v>
      </c>
      <c r="T14" s="48">
        <f t="shared" ref="T14" si="5">SUM(T7:T13)</f>
        <v>-2195.5999999999985</v>
      </c>
      <c r="U14" s="48">
        <f t="shared" ref="U14" si="6">SUM(U7:U13)</f>
        <v>3207.7999999999956</v>
      </c>
      <c r="V14" s="48">
        <f t="shared" ref="V14" si="7">SUM(V7:V13)</f>
        <v>9283.8000000000029</v>
      </c>
      <c r="W14" s="48">
        <f t="shared" ref="W14" si="8">SUM(W7:W13)</f>
        <v>16122.400000000001</v>
      </c>
      <c r="X14" s="48">
        <f t="shared" ref="X14" si="9">SUM(X7:X13)</f>
        <v>23817.199999999997</v>
      </c>
      <c r="Y14" s="48">
        <f t="shared" ref="Y14" si="10">SUM(Y7:Y13)</f>
        <v>32468.200000000004</v>
      </c>
      <c r="Z14" s="48">
        <f t="shared" ref="Z14" si="11">SUM(Z7:Z13)</f>
        <v>42198.6</v>
      </c>
      <c r="AA14" s="48">
        <f t="shared" ref="AA14" si="12">SUM(AA7:AA13)</f>
        <v>51781</v>
      </c>
      <c r="AB14" s="48">
        <f t="shared" ref="AB14" si="13">SUM(AB7:AB13)</f>
        <v>206154</v>
      </c>
      <c r="AC14" s="48">
        <f t="shared" ref="AC14" si="14">SUM(AC7:AC13)</f>
        <v>253793.65000000002</v>
      </c>
      <c r="AD14" s="48">
        <f t="shared" ref="AD14" si="15">SUM(AD7:AD13)</f>
        <v>275621.3</v>
      </c>
      <c r="AE14" s="48">
        <f t="shared" ref="AE14" si="16">SUM(AE7:AE13)</f>
        <v>370656.30000000005</v>
      </c>
      <c r="AF14" s="48">
        <f t="shared" ref="AF14" si="17">SUM(AF7:AF13)</f>
        <v>1106225.25</v>
      </c>
      <c r="AG14" s="57">
        <f t="shared" ref="AG14" si="18">SUM(AG7:AG13)</f>
        <v>510702</v>
      </c>
      <c r="AH14" s="48">
        <f t="shared" ref="AH14" si="19">SUM(AH7:AH13)</f>
        <v>626383</v>
      </c>
      <c r="AI14" s="48">
        <f t="shared" ref="AI14" si="20">SUM(AI7:AI13)</f>
        <v>737432</v>
      </c>
      <c r="AJ14" s="48">
        <f t="shared" ref="AJ14" si="21">SUM(AJ7:AJ13)</f>
        <v>865136.2</v>
      </c>
      <c r="AK14" s="71">
        <f t="shared" ref="AK14" si="22">SUM(AK7:AK13)</f>
        <v>2739653.2</v>
      </c>
      <c r="AL14" s="48">
        <f t="shared" ref="AL14" si="23">SUM(AL7:AL13)</f>
        <v>3978954.4000000004</v>
      </c>
    </row>
    <row r="15" spans="1:38" x14ac:dyDescent="0.25">
      <c r="AG15" s="89"/>
      <c r="AK15" s="94"/>
    </row>
    <row r="16" spans="1:38" x14ac:dyDescent="0.25">
      <c r="AG16" s="89"/>
      <c r="AK16" s="94"/>
    </row>
    <row r="17" spans="1:38" ht="18.75" x14ac:dyDescent="0.25">
      <c r="A17" s="31" t="s">
        <v>166</v>
      </c>
      <c r="B17" s="31"/>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101"/>
      <c r="AH17" s="31"/>
      <c r="AI17" s="31"/>
      <c r="AJ17" s="31"/>
      <c r="AK17" s="99"/>
      <c r="AL17" s="31"/>
    </row>
    <row r="18" spans="1:38" x14ac:dyDescent="0.25">
      <c r="A18" s="1" t="s">
        <v>167</v>
      </c>
      <c r="B18" s="49">
        <f>-'Balance Sheet'!C15</f>
        <v>-49000</v>
      </c>
      <c r="C18" s="49">
        <f>'Balance Sheet'!C15-'Balance Sheet'!D15</f>
        <v>0</v>
      </c>
      <c r="D18" s="49">
        <f>'Balance Sheet'!D15-'Balance Sheet'!E15</f>
        <v>0</v>
      </c>
      <c r="E18" s="49">
        <f>'Balance Sheet'!E15-'Balance Sheet'!F15</f>
        <v>0</v>
      </c>
      <c r="F18" s="49">
        <f>'Balance Sheet'!F15-'Balance Sheet'!G15</f>
        <v>0</v>
      </c>
      <c r="G18" s="49">
        <f>'Balance Sheet'!G15-'Balance Sheet'!H15</f>
        <v>0</v>
      </c>
      <c r="H18" s="49">
        <f>'Balance Sheet'!H15-'Balance Sheet'!I15</f>
        <v>0</v>
      </c>
      <c r="I18" s="49">
        <f>'Balance Sheet'!I15-'Balance Sheet'!J15</f>
        <v>0</v>
      </c>
      <c r="J18" s="49">
        <f>'Balance Sheet'!J15-'Balance Sheet'!K15</f>
        <v>0</v>
      </c>
      <c r="K18" s="49">
        <f>'Balance Sheet'!K15-'Balance Sheet'!L15</f>
        <v>0</v>
      </c>
      <c r="L18" s="49">
        <f>'Balance Sheet'!L15-'Balance Sheet'!M15</f>
        <v>0</v>
      </c>
      <c r="M18" s="49">
        <f>'Balance Sheet'!M15-'Balance Sheet'!N15</f>
        <v>0</v>
      </c>
      <c r="N18" s="49">
        <f>SUM(B18:M18)</f>
        <v>-49000</v>
      </c>
      <c r="O18" s="49">
        <f>'Balance Sheet'!N15-'Balance Sheet'!O15</f>
        <v>-2500</v>
      </c>
      <c r="P18" s="49">
        <f>'Balance Sheet'!O15-'Balance Sheet'!P15</f>
        <v>0</v>
      </c>
      <c r="Q18" s="49">
        <f>'Balance Sheet'!P15-'Balance Sheet'!Q15</f>
        <v>0</v>
      </c>
      <c r="R18" s="49">
        <f>'Balance Sheet'!Q15-'Balance Sheet'!R15</f>
        <v>0</v>
      </c>
      <c r="S18" s="49">
        <f>'Balance Sheet'!R15-'Balance Sheet'!S15</f>
        <v>0</v>
      </c>
      <c r="T18" s="49">
        <f>'Balance Sheet'!S15-'Balance Sheet'!T15</f>
        <v>0</v>
      </c>
      <c r="U18" s="49">
        <f>'Balance Sheet'!T15-'Balance Sheet'!U15</f>
        <v>0</v>
      </c>
      <c r="V18" s="49">
        <f>'Balance Sheet'!U15-'Balance Sheet'!V15</f>
        <v>0</v>
      </c>
      <c r="W18" s="49">
        <f>'Balance Sheet'!V15-'Balance Sheet'!W15</f>
        <v>0</v>
      </c>
      <c r="X18" s="49">
        <f>'Balance Sheet'!W15-'Balance Sheet'!X15</f>
        <v>0</v>
      </c>
      <c r="Y18" s="49">
        <f>'Balance Sheet'!X15-'Balance Sheet'!Y15</f>
        <v>0</v>
      </c>
      <c r="Z18" s="49">
        <f>'Balance Sheet'!Y15-'Balance Sheet'!Z15</f>
        <v>0</v>
      </c>
      <c r="AA18" s="49">
        <f>SUM(O18:Z18)</f>
        <v>-2500</v>
      </c>
      <c r="AB18" s="49">
        <f>'Balance Sheet'!Z15-'Balance Sheet'!AA15</f>
        <v>-4500</v>
      </c>
      <c r="AC18" s="49">
        <f>'Balance Sheet'!AA15-'Balance Sheet'!AB15</f>
        <v>0</v>
      </c>
      <c r="AD18" s="49">
        <f>'Balance Sheet'!AB15-'Balance Sheet'!AC15</f>
        <v>0</v>
      </c>
      <c r="AE18" s="49">
        <f>'Balance Sheet'!AC15-'Balance Sheet'!AD15</f>
        <v>0</v>
      </c>
      <c r="AF18" s="49">
        <f>SUM(AB18:AE18)</f>
        <v>-4500</v>
      </c>
      <c r="AG18" s="59">
        <f>'Balance Sheet'!AD15-'Balance Sheet'!AE15</f>
        <v>-16000</v>
      </c>
      <c r="AH18" s="49">
        <f>'Balance Sheet'!AE15-'Balance Sheet'!AF15</f>
        <v>0</v>
      </c>
      <c r="AI18" s="49">
        <f>'Balance Sheet'!AF15-'Balance Sheet'!AG15</f>
        <v>0</v>
      </c>
      <c r="AJ18" s="49">
        <f>'Balance Sheet'!AG15-'Balance Sheet'!AH15</f>
        <v>0</v>
      </c>
      <c r="AK18" s="73">
        <f>SUM(AG18:AJ18)</f>
        <v>-16000</v>
      </c>
      <c r="AL18" s="49">
        <f>'Balance Sheet'!AH15-'Balance Sheet'!AI15</f>
        <v>-4500</v>
      </c>
    </row>
    <row r="19" spans="1:38" x14ac:dyDescent="0.25">
      <c r="A19" s="1" t="s">
        <v>168</v>
      </c>
      <c r="B19" s="44">
        <f>-'Balance Sheet'!C19</f>
        <v>-20000</v>
      </c>
      <c r="C19" s="44">
        <f>'Balance Sheet'!C19-'Balance Sheet'!D19</f>
        <v>0</v>
      </c>
      <c r="D19" s="44">
        <f>'Balance Sheet'!D19-'Balance Sheet'!E19</f>
        <v>0</v>
      </c>
      <c r="E19" s="44">
        <f>'Balance Sheet'!E19-'Balance Sheet'!F19</f>
        <v>0</v>
      </c>
      <c r="F19" s="44">
        <f>'Balance Sheet'!F19-'Balance Sheet'!G19</f>
        <v>0</v>
      </c>
      <c r="G19" s="44">
        <f>'Balance Sheet'!G19-'Balance Sheet'!H19</f>
        <v>0</v>
      </c>
      <c r="H19" s="44">
        <f>'Balance Sheet'!H19-'Balance Sheet'!I19</f>
        <v>0</v>
      </c>
      <c r="I19" s="44">
        <f>'Balance Sheet'!I19-'Balance Sheet'!J19</f>
        <v>0</v>
      </c>
      <c r="J19" s="44">
        <f>'Balance Sheet'!J19-'Balance Sheet'!K19</f>
        <v>0</v>
      </c>
      <c r="K19" s="44">
        <f>'Balance Sheet'!K19-'Balance Sheet'!L19</f>
        <v>0</v>
      </c>
      <c r="L19" s="44">
        <f>'Balance Sheet'!L19-'Balance Sheet'!M19</f>
        <v>0</v>
      </c>
      <c r="M19" s="44">
        <f>'Balance Sheet'!M19-'Balance Sheet'!N19</f>
        <v>0</v>
      </c>
      <c r="N19" s="44">
        <f>SUM(B19:M19)</f>
        <v>-20000</v>
      </c>
      <c r="O19" s="44">
        <f>'Balance Sheet'!N19-'Balance Sheet'!O19</f>
        <v>0</v>
      </c>
      <c r="P19" s="44">
        <f>'Balance Sheet'!O19-'Balance Sheet'!P19</f>
        <v>0</v>
      </c>
      <c r="Q19" s="44">
        <f>'Balance Sheet'!P19-'Balance Sheet'!Q19</f>
        <v>0</v>
      </c>
      <c r="R19" s="44">
        <f>'Balance Sheet'!Q19-'Balance Sheet'!R19</f>
        <v>0</v>
      </c>
      <c r="S19" s="44">
        <f>'Balance Sheet'!R19-'Balance Sheet'!S19</f>
        <v>0</v>
      </c>
      <c r="T19" s="44">
        <f>'Balance Sheet'!S19-'Balance Sheet'!T19</f>
        <v>0</v>
      </c>
      <c r="U19" s="44">
        <f>'Balance Sheet'!T19-'Balance Sheet'!U19</f>
        <v>0</v>
      </c>
      <c r="V19" s="44">
        <f>'Balance Sheet'!U19-'Balance Sheet'!V19</f>
        <v>0</v>
      </c>
      <c r="W19" s="44">
        <f>'Balance Sheet'!V19-'Balance Sheet'!W19</f>
        <v>0</v>
      </c>
      <c r="X19" s="44">
        <f>'Balance Sheet'!W19-'Balance Sheet'!X19</f>
        <v>0</v>
      </c>
      <c r="Y19" s="44">
        <f>'Balance Sheet'!X19-'Balance Sheet'!Y19</f>
        <v>0</v>
      </c>
      <c r="Z19" s="44">
        <f>'Balance Sheet'!Y19-'Balance Sheet'!Z19</f>
        <v>0</v>
      </c>
      <c r="AA19" s="44">
        <f>SUM(O19:Z19)</f>
        <v>0</v>
      </c>
      <c r="AB19" s="44">
        <f>'Balance Sheet'!Z19-'Balance Sheet'!AA19</f>
        <v>0</v>
      </c>
      <c r="AC19" s="44">
        <f>'Balance Sheet'!AA19-'Balance Sheet'!AB19</f>
        <v>0</v>
      </c>
      <c r="AD19" s="44">
        <f>'Balance Sheet'!AB19-'Balance Sheet'!AC19</f>
        <v>0</v>
      </c>
      <c r="AE19" s="44">
        <f>'Balance Sheet'!AC19-'Balance Sheet'!AD19</f>
        <v>0</v>
      </c>
      <c r="AF19" s="44">
        <f>SUM(AB19:AE19)</f>
        <v>0</v>
      </c>
      <c r="AG19" s="56">
        <f>'Balance Sheet'!AD19-'Balance Sheet'!AE19</f>
        <v>0</v>
      </c>
      <c r="AH19" s="44">
        <f>'Balance Sheet'!AE19-'Balance Sheet'!AF19</f>
        <v>0</v>
      </c>
      <c r="AI19" s="44">
        <f>'Balance Sheet'!AF19-'Balance Sheet'!AG19</f>
        <v>0</v>
      </c>
      <c r="AJ19" s="44">
        <f>'Balance Sheet'!AG19-'Balance Sheet'!AH19</f>
        <v>0</v>
      </c>
      <c r="AK19" s="70">
        <f>SUM(AG19:AJ19)</f>
        <v>0</v>
      </c>
      <c r="AL19" s="44">
        <f>'Balance Sheet'!AH19-'Balance Sheet'!AI19</f>
        <v>0</v>
      </c>
    </row>
    <row r="20" spans="1:38" x14ac:dyDescent="0.25">
      <c r="AG20" s="89"/>
      <c r="AK20" s="94"/>
    </row>
    <row r="21" spans="1:38" s="11" customFormat="1" x14ac:dyDescent="0.25">
      <c r="A21" s="11" t="s">
        <v>169</v>
      </c>
      <c r="B21" s="48">
        <f>SUM(B18:B19)</f>
        <v>-69000</v>
      </c>
      <c r="C21" s="48">
        <f t="shared" ref="C21:M21" si="24">SUM(C18:C19)</f>
        <v>0</v>
      </c>
      <c r="D21" s="48">
        <f t="shared" si="24"/>
        <v>0</v>
      </c>
      <c r="E21" s="48">
        <f t="shared" si="24"/>
        <v>0</v>
      </c>
      <c r="F21" s="48">
        <f t="shared" si="24"/>
        <v>0</v>
      </c>
      <c r="G21" s="48">
        <f t="shared" si="24"/>
        <v>0</v>
      </c>
      <c r="H21" s="48">
        <f t="shared" si="24"/>
        <v>0</v>
      </c>
      <c r="I21" s="48">
        <f t="shared" si="24"/>
        <v>0</v>
      </c>
      <c r="J21" s="48">
        <f t="shared" si="24"/>
        <v>0</v>
      </c>
      <c r="K21" s="48">
        <f t="shared" si="24"/>
        <v>0</v>
      </c>
      <c r="L21" s="48">
        <f t="shared" si="24"/>
        <v>0</v>
      </c>
      <c r="M21" s="48">
        <f t="shared" si="24"/>
        <v>0</v>
      </c>
      <c r="N21" s="48">
        <f t="shared" ref="N21" si="25">SUM(N18:N19)</f>
        <v>-69000</v>
      </c>
      <c r="O21" s="48">
        <f>SUM(O18:O19)</f>
        <v>-2500</v>
      </c>
      <c r="P21" s="48">
        <f t="shared" ref="P21:AL21" si="26">SUM(P18:P19)</f>
        <v>0</v>
      </c>
      <c r="Q21" s="48">
        <f t="shared" si="26"/>
        <v>0</v>
      </c>
      <c r="R21" s="48">
        <f t="shared" si="26"/>
        <v>0</v>
      </c>
      <c r="S21" s="48">
        <f t="shared" si="26"/>
        <v>0</v>
      </c>
      <c r="T21" s="48">
        <f t="shared" si="26"/>
        <v>0</v>
      </c>
      <c r="U21" s="48">
        <f t="shared" si="26"/>
        <v>0</v>
      </c>
      <c r="V21" s="48">
        <f t="shared" si="26"/>
        <v>0</v>
      </c>
      <c r="W21" s="48">
        <f t="shared" si="26"/>
        <v>0</v>
      </c>
      <c r="X21" s="48">
        <f t="shared" si="26"/>
        <v>0</v>
      </c>
      <c r="Y21" s="48">
        <f t="shared" si="26"/>
        <v>0</v>
      </c>
      <c r="Z21" s="48">
        <f t="shared" si="26"/>
        <v>0</v>
      </c>
      <c r="AA21" s="48">
        <f t="shared" si="26"/>
        <v>-2500</v>
      </c>
      <c r="AB21" s="48">
        <f t="shared" si="26"/>
        <v>-4500</v>
      </c>
      <c r="AC21" s="48">
        <f t="shared" si="26"/>
        <v>0</v>
      </c>
      <c r="AD21" s="48">
        <f t="shared" si="26"/>
        <v>0</v>
      </c>
      <c r="AE21" s="48">
        <f t="shared" si="26"/>
        <v>0</v>
      </c>
      <c r="AF21" s="48">
        <f t="shared" si="26"/>
        <v>-4500</v>
      </c>
      <c r="AG21" s="57">
        <f t="shared" si="26"/>
        <v>-16000</v>
      </c>
      <c r="AH21" s="48">
        <f t="shared" si="26"/>
        <v>0</v>
      </c>
      <c r="AI21" s="48">
        <f t="shared" si="26"/>
        <v>0</v>
      </c>
      <c r="AJ21" s="48">
        <f t="shared" si="26"/>
        <v>0</v>
      </c>
      <c r="AK21" s="71">
        <f t="shared" si="26"/>
        <v>-16000</v>
      </c>
      <c r="AL21" s="48">
        <f t="shared" si="26"/>
        <v>-4500</v>
      </c>
    </row>
    <row r="22" spans="1:38" x14ac:dyDescent="0.25">
      <c r="AG22" s="89"/>
      <c r="AK22" s="94"/>
    </row>
    <row r="23" spans="1:38" x14ac:dyDescent="0.25">
      <c r="AG23" s="89"/>
      <c r="AK23" s="94"/>
    </row>
    <row r="24" spans="1:38" ht="18.75" x14ac:dyDescent="0.25">
      <c r="A24" s="31" t="s">
        <v>170</v>
      </c>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101"/>
      <c r="AH24" s="31"/>
      <c r="AI24" s="31"/>
      <c r="AJ24" s="31"/>
      <c r="AK24" s="99"/>
      <c r="AL24" s="31"/>
    </row>
    <row r="25" spans="1:38" x14ac:dyDescent="0.25">
      <c r="A25" s="1" t="s">
        <v>171</v>
      </c>
      <c r="B25" s="49">
        <f>'Balance Sheet'!C40</f>
        <v>100000</v>
      </c>
      <c r="C25" s="49">
        <f>'Balance Sheet'!C40-'Balance Sheet'!D40</f>
        <v>0</v>
      </c>
      <c r="D25" s="49">
        <f>'Balance Sheet'!D40-'Balance Sheet'!E40</f>
        <v>0</v>
      </c>
      <c r="E25" s="49">
        <f>'Balance Sheet'!E40-'Balance Sheet'!F40</f>
        <v>0</v>
      </c>
      <c r="F25" s="49">
        <f>'Balance Sheet'!F40-'Balance Sheet'!G40</f>
        <v>0</v>
      </c>
      <c r="G25" s="49">
        <f>'Balance Sheet'!G40-'Balance Sheet'!H40</f>
        <v>0</v>
      </c>
      <c r="H25" s="49">
        <f>'Balance Sheet'!H40-'Balance Sheet'!I40</f>
        <v>0</v>
      </c>
      <c r="I25" s="49">
        <f>'Balance Sheet'!I40-'Balance Sheet'!J40</f>
        <v>0</v>
      </c>
      <c r="J25" s="49">
        <f>'Balance Sheet'!J40-'Balance Sheet'!K40</f>
        <v>0</v>
      </c>
      <c r="K25" s="49">
        <f>'Balance Sheet'!K40-'Balance Sheet'!L40</f>
        <v>0</v>
      </c>
      <c r="L25" s="49">
        <f>'Balance Sheet'!L40-'Balance Sheet'!M40</f>
        <v>0</v>
      </c>
      <c r="M25" s="49">
        <f>'Balance Sheet'!M40-'Balance Sheet'!N40</f>
        <v>0</v>
      </c>
      <c r="N25" s="49">
        <f>SUM(B25:M25)</f>
        <v>100000</v>
      </c>
      <c r="O25" s="49">
        <f>'Balance Sheet'!O40-'Balance Sheet'!N40</f>
        <v>0</v>
      </c>
      <c r="P25" s="49">
        <f>'Balance Sheet'!P40-'Balance Sheet'!O40</f>
        <v>0</v>
      </c>
      <c r="Q25" s="49">
        <f>'Balance Sheet'!Q40-'Balance Sheet'!P40</f>
        <v>0</v>
      </c>
      <c r="R25" s="49">
        <f>'Balance Sheet'!R40-'Balance Sheet'!Q40</f>
        <v>0</v>
      </c>
      <c r="S25" s="49">
        <f>'Balance Sheet'!S40-'Balance Sheet'!R40</f>
        <v>0</v>
      </c>
      <c r="T25" s="49">
        <f>'Balance Sheet'!T40-'Balance Sheet'!S40</f>
        <v>0</v>
      </c>
      <c r="U25" s="49">
        <f>'Balance Sheet'!U40-'Balance Sheet'!T40</f>
        <v>0</v>
      </c>
      <c r="V25" s="49">
        <f>'Balance Sheet'!V40-'Balance Sheet'!U40</f>
        <v>0</v>
      </c>
      <c r="W25" s="49">
        <f>'Balance Sheet'!W40-'Balance Sheet'!V40</f>
        <v>0</v>
      </c>
      <c r="X25" s="49">
        <f>'Balance Sheet'!X40-'Balance Sheet'!W40</f>
        <v>0</v>
      </c>
      <c r="Y25" s="49">
        <f>'Balance Sheet'!Y40-'Balance Sheet'!X40</f>
        <v>0</v>
      </c>
      <c r="Z25" s="49">
        <f>'Balance Sheet'!Z40-'Balance Sheet'!Y40</f>
        <v>0</v>
      </c>
      <c r="AA25" s="49">
        <f>SUM(O25:Z25)</f>
        <v>0</v>
      </c>
      <c r="AB25" s="49">
        <f t="shared" ref="AB25:AL25" si="27">SUM(P25:AA25)</f>
        <v>0</v>
      </c>
      <c r="AC25" s="49">
        <f t="shared" si="27"/>
        <v>0</v>
      </c>
      <c r="AD25" s="49">
        <f t="shared" si="27"/>
        <v>0</v>
      </c>
      <c r="AE25" s="49">
        <f t="shared" si="27"/>
        <v>0</v>
      </c>
      <c r="AF25" s="49">
        <f t="shared" si="27"/>
        <v>0</v>
      </c>
      <c r="AG25" s="59">
        <f t="shared" si="27"/>
        <v>0</v>
      </c>
      <c r="AH25" s="49">
        <f t="shared" si="27"/>
        <v>0</v>
      </c>
      <c r="AI25" s="49">
        <f t="shared" si="27"/>
        <v>0</v>
      </c>
      <c r="AJ25" s="49">
        <f t="shared" si="27"/>
        <v>0</v>
      </c>
      <c r="AK25" s="73">
        <f t="shared" si="27"/>
        <v>0</v>
      </c>
      <c r="AL25" s="49">
        <f t="shared" si="27"/>
        <v>0</v>
      </c>
    </row>
    <row r="26" spans="1:38" x14ac:dyDescent="0.25">
      <c r="A26" s="1" t="s">
        <v>172</v>
      </c>
      <c r="B26" s="43">
        <f>'Balance Sheet'!C41</f>
        <v>675000</v>
      </c>
      <c r="C26" s="43">
        <f>'Balance Sheet'!C41-'Balance Sheet'!D41</f>
        <v>0</v>
      </c>
      <c r="D26" s="43">
        <f>'Balance Sheet'!D41-'Balance Sheet'!E41</f>
        <v>0</v>
      </c>
      <c r="E26" s="43">
        <f>'Balance Sheet'!E41-'Balance Sheet'!F41</f>
        <v>0</v>
      </c>
      <c r="F26" s="43">
        <f>'Balance Sheet'!F41-'Balance Sheet'!G41</f>
        <v>0</v>
      </c>
      <c r="G26" s="43">
        <f>'Balance Sheet'!G41-'Balance Sheet'!H41</f>
        <v>0</v>
      </c>
      <c r="H26" s="43">
        <f>'Balance Sheet'!H41-'Balance Sheet'!I41</f>
        <v>0</v>
      </c>
      <c r="I26" s="43">
        <f>'Balance Sheet'!I41-'Balance Sheet'!J41</f>
        <v>0</v>
      </c>
      <c r="J26" s="43">
        <f>'Balance Sheet'!J41-'Balance Sheet'!K41</f>
        <v>0</v>
      </c>
      <c r="K26" s="43">
        <f>'Balance Sheet'!K41-'Balance Sheet'!L41</f>
        <v>0</v>
      </c>
      <c r="L26" s="43">
        <f>'Balance Sheet'!L41-'Balance Sheet'!M41</f>
        <v>0</v>
      </c>
      <c r="M26" s="43">
        <f>'Balance Sheet'!M41-'Balance Sheet'!N41</f>
        <v>0</v>
      </c>
      <c r="N26" s="43">
        <f>SUM(B26:M26)</f>
        <v>675000</v>
      </c>
      <c r="O26" s="49">
        <f>'Balance Sheet'!O41-'Balance Sheet'!N41</f>
        <v>0</v>
      </c>
      <c r="P26" s="49">
        <f>'Balance Sheet'!P41-'Balance Sheet'!O41</f>
        <v>0</v>
      </c>
      <c r="Q26" s="49">
        <f>'Balance Sheet'!Q41-'Balance Sheet'!P41</f>
        <v>0</v>
      </c>
      <c r="R26" s="49">
        <f>'Balance Sheet'!R41-'Balance Sheet'!Q41</f>
        <v>0</v>
      </c>
      <c r="S26" s="49">
        <f>'Balance Sheet'!S41-'Balance Sheet'!R41</f>
        <v>0</v>
      </c>
      <c r="T26" s="49">
        <f>'Balance Sheet'!T41-'Balance Sheet'!S41</f>
        <v>0</v>
      </c>
      <c r="U26" s="49">
        <f>'Balance Sheet'!U41-'Balance Sheet'!T41</f>
        <v>0</v>
      </c>
      <c r="V26" s="49">
        <f>'Balance Sheet'!V41-'Balance Sheet'!U41</f>
        <v>0</v>
      </c>
      <c r="W26" s="49">
        <f>'Balance Sheet'!W41-'Balance Sheet'!V41</f>
        <v>0</v>
      </c>
      <c r="X26" s="49">
        <f>'Balance Sheet'!X41-'Balance Sheet'!W41</f>
        <v>0</v>
      </c>
      <c r="Y26" s="49">
        <f>'Balance Sheet'!Y41-'Balance Sheet'!X41</f>
        <v>0</v>
      </c>
      <c r="Z26" s="49">
        <f>'Balance Sheet'!Z41-'Balance Sheet'!Y41</f>
        <v>0</v>
      </c>
      <c r="AA26" s="43">
        <f>SUM(O26:Z26)</f>
        <v>0</v>
      </c>
      <c r="AB26" s="43">
        <f t="shared" ref="AB26:AL26" si="28">SUM(P26:AA26)</f>
        <v>0</v>
      </c>
      <c r="AC26" s="43">
        <f t="shared" si="28"/>
        <v>0</v>
      </c>
      <c r="AD26" s="43">
        <f t="shared" si="28"/>
        <v>0</v>
      </c>
      <c r="AE26" s="43">
        <f t="shared" si="28"/>
        <v>0</v>
      </c>
      <c r="AF26" s="43">
        <f t="shared" si="28"/>
        <v>0</v>
      </c>
      <c r="AG26" s="55">
        <f t="shared" si="28"/>
        <v>0</v>
      </c>
      <c r="AH26" s="43">
        <f t="shared" si="28"/>
        <v>0</v>
      </c>
      <c r="AI26" s="43">
        <f t="shared" si="28"/>
        <v>0</v>
      </c>
      <c r="AJ26" s="43">
        <f t="shared" si="28"/>
        <v>0</v>
      </c>
      <c r="AK26" s="69">
        <f t="shared" si="28"/>
        <v>0</v>
      </c>
      <c r="AL26" s="43">
        <f t="shared" si="28"/>
        <v>0</v>
      </c>
    </row>
    <row r="27" spans="1:38" x14ac:dyDescent="0.25">
      <c r="A27" s="1" t="s">
        <v>173</v>
      </c>
      <c r="B27" s="44">
        <v>0</v>
      </c>
      <c r="C27" s="44">
        <v>0</v>
      </c>
      <c r="D27" s="44">
        <v>0</v>
      </c>
      <c r="E27" s="44">
        <v>0</v>
      </c>
      <c r="F27" s="44">
        <v>0</v>
      </c>
      <c r="G27" s="44">
        <v>0</v>
      </c>
      <c r="H27" s="44">
        <v>0</v>
      </c>
      <c r="I27" s="44">
        <v>0</v>
      </c>
      <c r="J27" s="44">
        <v>0</v>
      </c>
      <c r="K27" s="44">
        <v>0</v>
      </c>
      <c r="L27" s="44">
        <v>0</v>
      </c>
      <c r="M27" s="44">
        <v>0</v>
      </c>
      <c r="N27" s="44">
        <f>SUM(B27:M27)</f>
        <v>0</v>
      </c>
      <c r="O27" s="44">
        <v>0</v>
      </c>
      <c r="P27" s="44">
        <v>0</v>
      </c>
      <c r="Q27" s="44">
        <v>0</v>
      </c>
      <c r="R27" s="44">
        <v>0</v>
      </c>
      <c r="S27" s="44">
        <v>0</v>
      </c>
      <c r="T27" s="44">
        <v>0</v>
      </c>
      <c r="U27" s="44">
        <v>0</v>
      </c>
      <c r="V27" s="44">
        <v>0</v>
      </c>
      <c r="W27" s="44">
        <v>0</v>
      </c>
      <c r="X27" s="44">
        <v>0</v>
      </c>
      <c r="Y27" s="44">
        <v>0</v>
      </c>
      <c r="Z27" s="44">
        <v>0</v>
      </c>
      <c r="AA27" s="44">
        <f>SUM(O27:Z27)</f>
        <v>0</v>
      </c>
      <c r="AB27" s="44">
        <f t="shared" ref="AB27:AL27" si="29">SUM(P27:AA27)</f>
        <v>0</v>
      </c>
      <c r="AC27" s="44">
        <f t="shared" si="29"/>
        <v>0</v>
      </c>
      <c r="AD27" s="44">
        <f t="shared" si="29"/>
        <v>0</v>
      </c>
      <c r="AE27" s="44">
        <f t="shared" si="29"/>
        <v>0</v>
      </c>
      <c r="AF27" s="44">
        <f t="shared" si="29"/>
        <v>0</v>
      </c>
      <c r="AG27" s="56">
        <f t="shared" si="29"/>
        <v>0</v>
      </c>
      <c r="AH27" s="44">
        <f t="shared" si="29"/>
        <v>0</v>
      </c>
      <c r="AI27" s="44">
        <f t="shared" si="29"/>
        <v>0</v>
      </c>
      <c r="AJ27" s="44">
        <f t="shared" si="29"/>
        <v>0</v>
      </c>
      <c r="AK27" s="70">
        <f t="shared" si="29"/>
        <v>0</v>
      </c>
      <c r="AL27" s="44">
        <f t="shared" si="29"/>
        <v>0</v>
      </c>
    </row>
    <row r="28" spans="1:38" x14ac:dyDescent="0.25">
      <c r="AG28" s="89"/>
      <c r="AK28" s="94"/>
    </row>
    <row r="29" spans="1:38" s="11" customFormat="1" x14ac:dyDescent="0.25">
      <c r="A29" s="11" t="s">
        <v>174</v>
      </c>
      <c r="B29" s="51">
        <f>B25+B26-B27</f>
        <v>775000</v>
      </c>
      <c r="C29" s="51">
        <f t="shared" ref="C29:M29" si="30">C25+C26-C27</f>
        <v>0</v>
      </c>
      <c r="D29" s="51">
        <f t="shared" si="30"/>
        <v>0</v>
      </c>
      <c r="E29" s="51">
        <f t="shared" si="30"/>
        <v>0</v>
      </c>
      <c r="F29" s="51">
        <f t="shared" si="30"/>
        <v>0</v>
      </c>
      <c r="G29" s="51">
        <f t="shared" si="30"/>
        <v>0</v>
      </c>
      <c r="H29" s="51">
        <f t="shared" si="30"/>
        <v>0</v>
      </c>
      <c r="I29" s="51">
        <f t="shared" si="30"/>
        <v>0</v>
      </c>
      <c r="J29" s="51">
        <f t="shared" si="30"/>
        <v>0</v>
      </c>
      <c r="K29" s="51">
        <f t="shared" si="30"/>
        <v>0</v>
      </c>
      <c r="L29" s="51">
        <f t="shared" si="30"/>
        <v>0</v>
      </c>
      <c r="M29" s="51">
        <f t="shared" si="30"/>
        <v>0</v>
      </c>
      <c r="N29" s="51">
        <f t="shared" ref="N29" si="31">N25+N26-N27</f>
        <v>775000</v>
      </c>
      <c r="O29" s="51">
        <f>O25+O26-O27</f>
        <v>0</v>
      </c>
      <c r="P29" s="51">
        <f t="shared" ref="P29:AA29" si="32">P25+P26-P27</f>
        <v>0</v>
      </c>
      <c r="Q29" s="51">
        <f t="shared" si="32"/>
        <v>0</v>
      </c>
      <c r="R29" s="51">
        <f t="shared" si="32"/>
        <v>0</v>
      </c>
      <c r="S29" s="51">
        <f t="shared" si="32"/>
        <v>0</v>
      </c>
      <c r="T29" s="51">
        <f t="shared" si="32"/>
        <v>0</v>
      </c>
      <c r="U29" s="51">
        <f t="shared" si="32"/>
        <v>0</v>
      </c>
      <c r="V29" s="51">
        <f t="shared" si="32"/>
        <v>0</v>
      </c>
      <c r="W29" s="51">
        <f t="shared" si="32"/>
        <v>0</v>
      </c>
      <c r="X29" s="51">
        <f t="shared" si="32"/>
        <v>0</v>
      </c>
      <c r="Y29" s="51">
        <f t="shared" si="32"/>
        <v>0</v>
      </c>
      <c r="Z29" s="51">
        <f t="shared" si="32"/>
        <v>0</v>
      </c>
      <c r="AA29" s="51">
        <f t="shared" si="32"/>
        <v>0</v>
      </c>
      <c r="AB29" s="51">
        <f t="shared" ref="AB29:AL29" si="33">AB25+AB26-AB27</f>
        <v>0</v>
      </c>
      <c r="AC29" s="51">
        <f t="shared" si="33"/>
        <v>0</v>
      </c>
      <c r="AD29" s="51">
        <f t="shared" si="33"/>
        <v>0</v>
      </c>
      <c r="AE29" s="51">
        <f t="shared" si="33"/>
        <v>0</v>
      </c>
      <c r="AF29" s="51">
        <f t="shared" si="33"/>
        <v>0</v>
      </c>
      <c r="AG29" s="60">
        <f t="shared" si="33"/>
        <v>0</v>
      </c>
      <c r="AH29" s="51">
        <f t="shared" si="33"/>
        <v>0</v>
      </c>
      <c r="AI29" s="51">
        <f t="shared" si="33"/>
        <v>0</v>
      </c>
      <c r="AJ29" s="51">
        <f t="shared" si="33"/>
        <v>0</v>
      </c>
      <c r="AK29" s="74">
        <f t="shared" si="33"/>
        <v>0</v>
      </c>
      <c r="AL29" s="51">
        <f t="shared" si="33"/>
        <v>0</v>
      </c>
    </row>
    <row r="30" spans="1:38" x14ac:dyDescent="0.25">
      <c r="AG30" s="89"/>
      <c r="AK30" s="94"/>
    </row>
    <row r="31" spans="1:38" s="11" customFormat="1" x14ac:dyDescent="0.25">
      <c r="A31" s="11" t="s">
        <v>175</v>
      </c>
      <c r="B31" s="48">
        <f>B14+B21+B29</f>
        <v>543458</v>
      </c>
      <c r="C31" s="48">
        <f t="shared" ref="C31:N31" si="34">C14+C21+C29</f>
        <v>-37542</v>
      </c>
      <c r="D31" s="48">
        <f t="shared" si="34"/>
        <v>-37542</v>
      </c>
      <c r="E31" s="48">
        <f t="shared" si="34"/>
        <v>-37542</v>
      </c>
      <c r="F31" s="48">
        <f t="shared" si="34"/>
        <v>-37542</v>
      </c>
      <c r="G31" s="48">
        <f t="shared" si="34"/>
        <v>-37542</v>
      </c>
      <c r="H31" s="48">
        <f t="shared" si="34"/>
        <v>-36124</v>
      </c>
      <c r="I31" s="48">
        <f t="shared" si="34"/>
        <v>-29816</v>
      </c>
      <c r="J31" s="48">
        <f t="shared" si="34"/>
        <v>-28537</v>
      </c>
      <c r="K31" s="48">
        <f t="shared" si="34"/>
        <v>-25003.5</v>
      </c>
      <c r="L31" s="48">
        <f t="shared" si="34"/>
        <v>-22047</v>
      </c>
      <c r="M31" s="48">
        <f t="shared" si="34"/>
        <v>-20407</v>
      </c>
      <c r="N31" s="48">
        <f t="shared" si="34"/>
        <v>193813.5</v>
      </c>
      <c r="O31" s="48">
        <f>O14+O21+O29</f>
        <v>-23905.8</v>
      </c>
      <c r="P31" s="48">
        <f t="shared" ref="P31:AA31" si="35">P14+P21+P29</f>
        <v>-18414.2</v>
      </c>
      <c r="Q31" s="48">
        <f t="shared" si="35"/>
        <v>-15049.2</v>
      </c>
      <c r="R31" s="48">
        <f t="shared" si="35"/>
        <v>-11258.400000000001</v>
      </c>
      <c r="S31" s="48">
        <f t="shared" si="35"/>
        <v>-6993.7999999999993</v>
      </c>
      <c r="T31" s="48">
        <f t="shared" si="35"/>
        <v>-2195.5999999999985</v>
      </c>
      <c r="U31" s="48">
        <f t="shared" si="35"/>
        <v>3207.7999999999956</v>
      </c>
      <c r="V31" s="48">
        <f t="shared" si="35"/>
        <v>9283.8000000000029</v>
      </c>
      <c r="W31" s="48">
        <f t="shared" si="35"/>
        <v>16122.400000000001</v>
      </c>
      <c r="X31" s="48">
        <f t="shared" si="35"/>
        <v>23817.199999999997</v>
      </c>
      <c r="Y31" s="48">
        <f t="shared" si="35"/>
        <v>32468.200000000004</v>
      </c>
      <c r="Z31" s="48">
        <f t="shared" si="35"/>
        <v>42198.6</v>
      </c>
      <c r="AA31" s="48">
        <f t="shared" si="35"/>
        <v>49281</v>
      </c>
      <c r="AB31" s="48">
        <f t="shared" ref="AB31:AL31" si="36">AB14+AB21+AB29</f>
        <v>201654</v>
      </c>
      <c r="AC31" s="48">
        <f t="shared" si="36"/>
        <v>253793.65000000002</v>
      </c>
      <c r="AD31" s="48">
        <f t="shared" si="36"/>
        <v>275621.3</v>
      </c>
      <c r="AE31" s="48">
        <f t="shared" si="36"/>
        <v>370656.30000000005</v>
      </c>
      <c r="AF31" s="48">
        <f t="shared" si="36"/>
        <v>1101725.25</v>
      </c>
      <c r="AG31" s="57">
        <f t="shared" si="36"/>
        <v>494702</v>
      </c>
      <c r="AH31" s="48">
        <f t="shared" si="36"/>
        <v>626383</v>
      </c>
      <c r="AI31" s="48">
        <f t="shared" si="36"/>
        <v>737432</v>
      </c>
      <c r="AJ31" s="48">
        <f t="shared" si="36"/>
        <v>865136.2</v>
      </c>
      <c r="AK31" s="71">
        <f t="shared" si="36"/>
        <v>2723653.2</v>
      </c>
      <c r="AL31" s="48">
        <f t="shared" si="36"/>
        <v>3974454.4000000004</v>
      </c>
    </row>
    <row r="32" spans="1:38" s="11" customFormat="1" x14ac:dyDescent="0.25">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48"/>
      <c r="AB32" s="48"/>
      <c r="AC32" s="48"/>
      <c r="AD32" s="48"/>
      <c r="AE32" s="48"/>
      <c r="AF32" s="48"/>
      <c r="AG32" s="57"/>
      <c r="AH32" s="48"/>
      <c r="AI32" s="48"/>
      <c r="AJ32" s="48"/>
      <c r="AK32" s="71"/>
      <c r="AL32" s="48"/>
    </row>
    <row r="33" spans="1:38" x14ac:dyDescent="0.25">
      <c r="A33" s="1" t="s">
        <v>176</v>
      </c>
      <c r="B33" s="44">
        <v>0</v>
      </c>
      <c r="C33" s="44">
        <f>B35</f>
        <v>543458</v>
      </c>
      <c r="D33" s="44">
        <f t="shared" ref="D33:M33" si="37">C35</f>
        <v>505916</v>
      </c>
      <c r="E33" s="44">
        <f t="shared" si="37"/>
        <v>468374</v>
      </c>
      <c r="F33" s="44">
        <f t="shared" si="37"/>
        <v>430832</v>
      </c>
      <c r="G33" s="44">
        <f t="shared" si="37"/>
        <v>393290</v>
      </c>
      <c r="H33" s="44">
        <f t="shared" si="37"/>
        <v>355748</v>
      </c>
      <c r="I33" s="44">
        <f t="shared" si="37"/>
        <v>319624</v>
      </c>
      <c r="J33" s="44">
        <f t="shared" si="37"/>
        <v>289808</v>
      </c>
      <c r="K33" s="44">
        <f t="shared" si="37"/>
        <v>261271</v>
      </c>
      <c r="L33" s="44">
        <f t="shared" si="37"/>
        <v>236267.5</v>
      </c>
      <c r="M33" s="44">
        <f t="shared" si="37"/>
        <v>214220.5</v>
      </c>
      <c r="N33" s="44">
        <f>B33</f>
        <v>0</v>
      </c>
      <c r="O33" s="44">
        <f>N35</f>
        <v>193813.5</v>
      </c>
      <c r="P33" s="44">
        <f>O35</f>
        <v>169907.7</v>
      </c>
      <c r="Q33" s="44">
        <f t="shared" ref="Q33:Z33" si="38">P35</f>
        <v>151493.5</v>
      </c>
      <c r="R33" s="44">
        <f t="shared" si="38"/>
        <v>136444.29999999999</v>
      </c>
      <c r="S33" s="44">
        <f t="shared" si="38"/>
        <v>125185.9</v>
      </c>
      <c r="T33" s="44">
        <f t="shared" si="38"/>
        <v>118192.09999999999</v>
      </c>
      <c r="U33" s="44">
        <f t="shared" si="38"/>
        <v>115996.5</v>
      </c>
      <c r="V33" s="44">
        <f t="shared" si="38"/>
        <v>119204.29999999999</v>
      </c>
      <c r="W33" s="44">
        <f t="shared" si="38"/>
        <v>128488.09999999999</v>
      </c>
      <c r="X33" s="44">
        <f t="shared" si="38"/>
        <v>144610.5</v>
      </c>
      <c r="Y33" s="44">
        <f t="shared" si="38"/>
        <v>168427.7</v>
      </c>
      <c r="Z33" s="44">
        <f t="shared" si="38"/>
        <v>200895.90000000002</v>
      </c>
      <c r="AA33" s="44">
        <f>N35</f>
        <v>193813.5</v>
      </c>
      <c r="AB33" s="44">
        <f>AA35</f>
        <v>243094.5</v>
      </c>
      <c r="AC33" s="44">
        <f>AB35</f>
        <v>444748.5</v>
      </c>
      <c r="AD33" s="44">
        <f t="shared" ref="AD33:AE33" si="39">AC35</f>
        <v>698542.15</v>
      </c>
      <c r="AE33" s="44">
        <f t="shared" si="39"/>
        <v>974163.45</v>
      </c>
      <c r="AF33" s="44">
        <f>AB33</f>
        <v>243094.5</v>
      </c>
      <c r="AG33" s="56">
        <f>AF35</f>
        <v>1344819.75</v>
      </c>
      <c r="AH33" s="44">
        <f>AG35</f>
        <v>1839521.75</v>
      </c>
      <c r="AI33" s="44">
        <f t="shared" ref="AI33:AJ33" si="40">AH35</f>
        <v>2465904.75</v>
      </c>
      <c r="AJ33" s="44">
        <f t="shared" si="40"/>
        <v>3203336.75</v>
      </c>
      <c r="AK33" s="70">
        <f>AG33</f>
        <v>1344819.75</v>
      </c>
      <c r="AL33" s="44">
        <f>AK35</f>
        <v>4068472.95</v>
      </c>
    </row>
    <row r="34" spans="1:38" x14ac:dyDescent="0.25">
      <c r="AG34" s="89"/>
      <c r="AK34" s="94"/>
    </row>
    <row r="35" spans="1:38" ht="18" customHeight="1" thickBot="1" x14ac:dyDescent="0.3">
      <c r="A35" s="1" t="s">
        <v>177</v>
      </c>
      <c r="B35" s="88">
        <f>B31+B33</f>
        <v>543458</v>
      </c>
      <c r="C35" s="88">
        <f t="shared" ref="C35:M35" si="41">C31+C33</f>
        <v>505916</v>
      </c>
      <c r="D35" s="88">
        <f t="shared" si="41"/>
        <v>468374</v>
      </c>
      <c r="E35" s="88">
        <f t="shared" si="41"/>
        <v>430832</v>
      </c>
      <c r="F35" s="88">
        <f t="shared" si="41"/>
        <v>393290</v>
      </c>
      <c r="G35" s="88">
        <f t="shared" si="41"/>
        <v>355748</v>
      </c>
      <c r="H35" s="88">
        <f t="shared" si="41"/>
        <v>319624</v>
      </c>
      <c r="I35" s="88">
        <f t="shared" si="41"/>
        <v>289808</v>
      </c>
      <c r="J35" s="88">
        <f t="shared" si="41"/>
        <v>261271</v>
      </c>
      <c r="K35" s="88">
        <f t="shared" si="41"/>
        <v>236267.5</v>
      </c>
      <c r="L35" s="88">
        <f t="shared" si="41"/>
        <v>214220.5</v>
      </c>
      <c r="M35" s="88">
        <f t="shared" si="41"/>
        <v>193813.5</v>
      </c>
      <c r="N35" s="88">
        <f t="shared" ref="N35" si="42">N31+N33</f>
        <v>193813.5</v>
      </c>
      <c r="O35" s="88">
        <f>O31+O33</f>
        <v>169907.7</v>
      </c>
      <c r="P35" s="88">
        <f t="shared" ref="P35:AA35" si="43">P31+P33</f>
        <v>151493.5</v>
      </c>
      <c r="Q35" s="88">
        <f t="shared" si="43"/>
        <v>136444.29999999999</v>
      </c>
      <c r="R35" s="88">
        <f t="shared" si="43"/>
        <v>125185.9</v>
      </c>
      <c r="S35" s="88">
        <f t="shared" si="43"/>
        <v>118192.09999999999</v>
      </c>
      <c r="T35" s="112">
        <f t="shared" si="43"/>
        <v>115996.5</v>
      </c>
      <c r="U35" s="88">
        <f t="shared" si="43"/>
        <v>119204.29999999999</v>
      </c>
      <c r="V35" s="88">
        <f t="shared" si="43"/>
        <v>128488.09999999999</v>
      </c>
      <c r="W35" s="88">
        <f t="shared" si="43"/>
        <v>144610.5</v>
      </c>
      <c r="X35" s="88">
        <f t="shared" si="43"/>
        <v>168427.7</v>
      </c>
      <c r="Y35" s="88">
        <f t="shared" si="43"/>
        <v>200895.90000000002</v>
      </c>
      <c r="Z35" s="88">
        <f t="shared" si="43"/>
        <v>243094.50000000003</v>
      </c>
      <c r="AA35" s="88">
        <f t="shared" si="43"/>
        <v>243094.5</v>
      </c>
      <c r="AB35" s="88">
        <f t="shared" ref="AB35:AL35" si="44">AB31+AB33</f>
        <v>444748.5</v>
      </c>
      <c r="AC35" s="88">
        <f t="shared" si="44"/>
        <v>698542.15</v>
      </c>
      <c r="AD35" s="88">
        <f t="shared" si="44"/>
        <v>974163.45</v>
      </c>
      <c r="AE35" s="88">
        <f t="shared" si="44"/>
        <v>1344819.75</v>
      </c>
      <c r="AF35" s="88">
        <f t="shared" si="44"/>
        <v>1344819.75</v>
      </c>
      <c r="AG35" s="102">
        <f t="shared" si="44"/>
        <v>1839521.75</v>
      </c>
      <c r="AH35" s="88">
        <f t="shared" si="44"/>
        <v>2465904.75</v>
      </c>
      <c r="AI35" s="88">
        <f t="shared" si="44"/>
        <v>3203336.75</v>
      </c>
      <c r="AJ35" s="88">
        <f t="shared" si="44"/>
        <v>4068472.95</v>
      </c>
      <c r="AK35" s="100">
        <f t="shared" si="44"/>
        <v>4068472.95</v>
      </c>
      <c r="AL35" s="88">
        <f t="shared" si="44"/>
        <v>8042927.3500000006</v>
      </c>
    </row>
    <row r="36" spans="1:38" ht="16.5" thickTop="1" x14ac:dyDescent="0.25"/>
    <row r="39" spans="1:38" ht="16.5" thickBot="1" x14ac:dyDescent="0.3">
      <c r="A39" s="1" t="s">
        <v>178</v>
      </c>
      <c r="B39" s="88">
        <f>'Balance Sheet Assumptions'!$B$3</f>
        <v>100000</v>
      </c>
      <c r="C39" s="88">
        <f>'Balance Sheet Assumptions'!$B$3</f>
        <v>100000</v>
      </c>
      <c r="D39" s="88">
        <f>'Balance Sheet Assumptions'!$B$3</f>
        <v>100000</v>
      </c>
      <c r="E39" s="88">
        <f>'Balance Sheet Assumptions'!$B$3</f>
        <v>100000</v>
      </c>
      <c r="F39" s="88">
        <f>'Balance Sheet Assumptions'!$B$3</f>
        <v>100000</v>
      </c>
      <c r="G39" s="88">
        <f>'Balance Sheet Assumptions'!$B$3</f>
        <v>100000</v>
      </c>
      <c r="H39" s="88">
        <f>'Balance Sheet Assumptions'!$B$3</f>
        <v>100000</v>
      </c>
      <c r="I39" s="88">
        <f>'Balance Sheet Assumptions'!$B$3</f>
        <v>100000</v>
      </c>
      <c r="J39" s="88">
        <f>'Balance Sheet Assumptions'!$B$3</f>
        <v>100000</v>
      </c>
      <c r="K39" s="88">
        <f>'Balance Sheet Assumptions'!$B$3</f>
        <v>100000</v>
      </c>
      <c r="L39" s="88">
        <f>'Balance Sheet Assumptions'!$B$3</f>
        <v>100000</v>
      </c>
      <c r="M39" s="88">
        <f>'Balance Sheet Assumptions'!$B$3</f>
        <v>100000</v>
      </c>
      <c r="N39" s="88">
        <f>'Balance Sheet Assumptions'!$B$3</f>
        <v>100000</v>
      </c>
      <c r="O39" s="88">
        <f>'Balance Sheet Assumptions'!$B$3</f>
        <v>100000</v>
      </c>
      <c r="P39" s="88">
        <f>'Balance Sheet Assumptions'!$B$3</f>
        <v>100000</v>
      </c>
      <c r="Q39" s="88">
        <f>'Balance Sheet Assumptions'!$B$3</f>
        <v>100000</v>
      </c>
      <c r="R39" s="88">
        <f>'Balance Sheet Assumptions'!$B$3</f>
        <v>100000</v>
      </c>
      <c r="S39" s="88">
        <f>'Balance Sheet Assumptions'!$B$3</f>
        <v>100000</v>
      </c>
      <c r="T39" s="88">
        <f>'Balance Sheet Assumptions'!$B$3</f>
        <v>100000</v>
      </c>
      <c r="U39" s="88">
        <f>'Balance Sheet Assumptions'!$B$3</f>
        <v>100000</v>
      </c>
      <c r="V39" s="88">
        <f>'Balance Sheet Assumptions'!$B$3</f>
        <v>100000</v>
      </c>
      <c r="W39" s="88">
        <f>'Balance Sheet Assumptions'!$B$3</f>
        <v>100000</v>
      </c>
      <c r="X39" s="88">
        <f>'Balance Sheet Assumptions'!$B$3</f>
        <v>100000</v>
      </c>
      <c r="Y39" s="88">
        <f>'Balance Sheet Assumptions'!$B$3</f>
        <v>100000</v>
      </c>
      <c r="Z39" s="88">
        <f>'Balance Sheet Assumptions'!$B$3</f>
        <v>100000</v>
      </c>
      <c r="AA39" s="88">
        <f>'Balance Sheet Assumptions'!$B$3</f>
        <v>100000</v>
      </c>
      <c r="AB39" s="88">
        <f>'Balance Sheet Assumptions'!$B$3</f>
        <v>100000</v>
      </c>
      <c r="AC39" s="88">
        <f>'Balance Sheet Assumptions'!$B$3</f>
        <v>100000</v>
      </c>
      <c r="AD39" s="88">
        <f>'Balance Sheet Assumptions'!$B$3</f>
        <v>100000</v>
      </c>
      <c r="AE39" s="88">
        <f>'Balance Sheet Assumptions'!$B$3</f>
        <v>100000</v>
      </c>
      <c r="AF39" s="88">
        <f>'Balance Sheet Assumptions'!$B$3</f>
        <v>100000</v>
      </c>
      <c r="AG39" s="88">
        <f>'Balance Sheet Assumptions'!$B$3</f>
        <v>100000</v>
      </c>
      <c r="AH39" s="88">
        <f>'Balance Sheet Assumptions'!$B$3</f>
        <v>100000</v>
      </c>
      <c r="AI39" s="88">
        <f>'Balance Sheet Assumptions'!$B$3</f>
        <v>100000</v>
      </c>
      <c r="AJ39" s="88">
        <f>'Balance Sheet Assumptions'!$B$3</f>
        <v>100000</v>
      </c>
      <c r="AK39" s="88">
        <f>'Balance Sheet Assumptions'!$B$3</f>
        <v>100000</v>
      </c>
      <c r="AL39" s="88">
        <f>'Balance Sheet Assumptions'!$B$3</f>
        <v>100000</v>
      </c>
    </row>
    <row r="40" spans="1:38" ht="16.5" thickTop="1" x14ac:dyDescent="0.25"/>
    <row r="41" spans="1:38" x14ac:dyDescent="0.25">
      <c r="A41" s="1" t="s">
        <v>179</v>
      </c>
      <c r="B41" s="12" t="str">
        <f>IF(B35&gt;B39,"NO", "YES")</f>
        <v>NO</v>
      </c>
      <c r="C41" s="12" t="str">
        <f t="shared" ref="C41:N41" si="45">IF(C35&gt;C39,"NO", "YES")</f>
        <v>NO</v>
      </c>
      <c r="D41" s="12" t="str">
        <f t="shared" si="45"/>
        <v>NO</v>
      </c>
      <c r="E41" s="12" t="str">
        <f t="shared" si="45"/>
        <v>NO</v>
      </c>
      <c r="F41" s="12" t="str">
        <f t="shared" si="45"/>
        <v>NO</v>
      </c>
      <c r="G41" s="12" t="str">
        <f t="shared" si="45"/>
        <v>NO</v>
      </c>
      <c r="H41" s="12" t="str">
        <f t="shared" si="45"/>
        <v>NO</v>
      </c>
      <c r="I41" s="12" t="str">
        <f t="shared" si="45"/>
        <v>NO</v>
      </c>
      <c r="J41" s="12" t="str">
        <f t="shared" si="45"/>
        <v>NO</v>
      </c>
      <c r="K41" s="12" t="str">
        <f t="shared" si="45"/>
        <v>NO</v>
      </c>
      <c r="L41" s="12" t="str">
        <f t="shared" si="45"/>
        <v>NO</v>
      </c>
      <c r="M41" s="12" t="str">
        <f t="shared" si="45"/>
        <v>NO</v>
      </c>
      <c r="N41" s="12" t="str">
        <f t="shared" si="45"/>
        <v>NO</v>
      </c>
      <c r="O41" s="12" t="str">
        <f>IF(O35&gt;O39,"NO", "YES")</f>
        <v>NO</v>
      </c>
      <c r="P41" s="12" t="str">
        <f t="shared" ref="P41:AA41" si="46">IF(P35&gt;P39,"NO", "YES")</f>
        <v>NO</v>
      </c>
      <c r="Q41" s="12" t="str">
        <f t="shared" si="46"/>
        <v>NO</v>
      </c>
      <c r="R41" s="12" t="str">
        <f t="shared" si="46"/>
        <v>NO</v>
      </c>
      <c r="S41" s="12" t="str">
        <f t="shared" si="46"/>
        <v>NO</v>
      </c>
      <c r="T41" s="12" t="str">
        <f t="shared" si="46"/>
        <v>NO</v>
      </c>
      <c r="U41" s="12" t="str">
        <f t="shared" si="46"/>
        <v>NO</v>
      </c>
      <c r="V41" s="12" t="str">
        <f t="shared" si="46"/>
        <v>NO</v>
      </c>
      <c r="W41" s="12" t="str">
        <f t="shared" si="46"/>
        <v>NO</v>
      </c>
      <c r="X41" s="12" t="str">
        <f t="shared" si="46"/>
        <v>NO</v>
      </c>
      <c r="Y41" s="12" t="str">
        <f t="shared" si="46"/>
        <v>NO</v>
      </c>
      <c r="Z41" s="12" t="str">
        <f t="shared" si="46"/>
        <v>NO</v>
      </c>
      <c r="AA41" s="12" t="str">
        <f t="shared" si="46"/>
        <v>NO</v>
      </c>
      <c r="AB41" s="12" t="str">
        <f t="shared" ref="AB41:AL41" si="47">IF(AB35&gt;AB39,"NO", "YES")</f>
        <v>NO</v>
      </c>
      <c r="AC41" s="12" t="str">
        <f t="shared" si="47"/>
        <v>NO</v>
      </c>
      <c r="AD41" s="12" t="str">
        <f t="shared" si="47"/>
        <v>NO</v>
      </c>
      <c r="AE41" s="12" t="str">
        <f t="shared" si="47"/>
        <v>NO</v>
      </c>
      <c r="AF41" s="12" t="str">
        <f t="shared" si="47"/>
        <v>NO</v>
      </c>
      <c r="AG41" s="12" t="str">
        <f t="shared" si="47"/>
        <v>NO</v>
      </c>
      <c r="AH41" s="12" t="str">
        <f t="shared" si="47"/>
        <v>NO</v>
      </c>
      <c r="AI41" s="12" t="str">
        <f t="shared" si="47"/>
        <v>NO</v>
      </c>
      <c r="AJ41" s="12" t="str">
        <f t="shared" si="47"/>
        <v>NO</v>
      </c>
      <c r="AK41" s="12" t="str">
        <f t="shared" si="47"/>
        <v>NO</v>
      </c>
      <c r="AL41" s="12" t="str">
        <f t="shared" si="47"/>
        <v>NO</v>
      </c>
    </row>
  </sheetData>
  <mergeCells count="10">
    <mergeCell ref="B4:N4"/>
    <mergeCell ref="O4:AA4"/>
    <mergeCell ref="AB4:AF4"/>
    <mergeCell ref="AG4:AK4"/>
    <mergeCell ref="B1:N1"/>
    <mergeCell ref="O1:AA1"/>
    <mergeCell ref="AB1:AL1"/>
    <mergeCell ref="B2:N2"/>
    <mergeCell ref="O2:AA2"/>
    <mergeCell ref="AB2:AL2"/>
  </mergeCells>
  <pageMargins left="0.7" right="0.7" top="0.75" bottom="0.75" header="0.3" footer="0.3"/>
  <pageSetup scale="44" orientation="landscape" r:id="rId1"/>
  <colBreaks count="2" manualBreakCount="2">
    <brk id="13" max="34" man="1"/>
    <brk id="26" max="34"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6"/>
  <sheetViews>
    <sheetView zoomScaleNormal="100" workbookViewId="0">
      <selection activeCell="C24" sqref="C24"/>
    </sheetView>
  </sheetViews>
  <sheetFormatPr defaultColWidth="9.140625" defaultRowHeight="15.75" x14ac:dyDescent="0.25"/>
  <cols>
    <col min="1" max="1" width="26.42578125" style="1" customWidth="1"/>
    <col min="2" max="2" width="4.7109375" style="1" customWidth="1"/>
    <col min="3" max="3" width="14" style="1" bestFit="1" customWidth="1"/>
    <col min="4" max="4" width="4.7109375" style="1" customWidth="1"/>
    <col min="5" max="5" width="12.7109375" style="1" bestFit="1" customWidth="1"/>
    <col min="6" max="6" width="4.7109375" style="1" customWidth="1"/>
    <col min="7" max="7" width="14" style="1" bestFit="1" customWidth="1"/>
    <col min="8" max="8" width="4.7109375" style="1" customWidth="1"/>
    <col min="9" max="9" width="14" style="1" bestFit="1" customWidth="1"/>
    <col min="10" max="10" width="4.7109375" style="1" customWidth="1"/>
    <col min="11" max="11" width="14" style="1" bestFit="1" customWidth="1"/>
    <col min="12" max="12" width="4.7109375" style="1" customWidth="1"/>
    <col min="13" max="13" width="14" style="1" bestFit="1" customWidth="1"/>
    <col min="14" max="14" width="4.7109375" style="1" customWidth="1"/>
    <col min="15" max="15" width="21.85546875" style="1" bestFit="1" customWidth="1"/>
    <col min="16" max="16384" width="9.140625" style="1"/>
  </cols>
  <sheetData>
    <row r="1" spans="1:15" x14ac:dyDescent="0.25">
      <c r="B1" s="133" t="s">
        <v>110</v>
      </c>
      <c r="C1" s="133"/>
      <c r="D1" s="133"/>
      <c r="E1" s="133"/>
      <c r="F1" s="133"/>
      <c r="G1" s="133"/>
      <c r="H1" s="133"/>
      <c r="I1" s="133"/>
      <c r="J1" s="133"/>
      <c r="K1" s="133"/>
      <c r="L1" s="133"/>
      <c r="M1" s="133"/>
      <c r="N1" s="133"/>
      <c r="O1" s="133"/>
    </row>
    <row r="2" spans="1:15" x14ac:dyDescent="0.25">
      <c r="B2" s="134" t="s">
        <v>180</v>
      </c>
      <c r="C2" s="134"/>
      <c r="D2" s="134"/>
      <c r="E2" s="134"/>
      <c r="F2" s="134"/>
      <c r="G2" s="134"/>
      <c r="H2" s="134"/>
      <c r="I2" s="134"/>
      <c r="J2" s="134"/>
      <c r="K2" s="134"/>
      <c r="L2" s="134"/>
      <c r="M2" s="134"/>
      <c r="N2" s="134"/>
      <c r="O2" s="134"/>
    </row>
    <row r="4" spans="1:15" s="4" customFormat="1" x14ac:dyDescent="0.25">
      <c r="A4" s="76"/>
      <c r="B4" s="77"/>
      <c r="C4" s="77" t="s">
        <v>181</v>
      </c>
      <c r="D4" s="77"/>
      <c r="E4" s="77" t="s">
        <v>9</v>
      </c>
      <c r="F4" s="77"/>
      <c r="G4" s="77" t="s">
        <v>25</v>
      </c>
      <c r="H4" s="77"/>
      <c r="I4" s="77" t="s">
        <v>26</v>
      </c>
      <c r="J4" s="77"/>
      <c r="K4" s="77" t="s">
        <v>31</v>
      </c>
      <c r="L4" s="77"/>
      <c r="M4" s="77" t="s">
        <v>32</v>
      </c>
      <c r="N4" s="77"/>
      <c r="O4" s="77" t="s">
        <v>182</v>
      </c>
    </row>
    <row r="6" spans="1:15" x14ac:dyDescent="0.25">
      <c r="A6" s="1" t="s">
        <v>183</v>
      </c>
      <c r="C6" s="49">
        <f>'Cash Flow Statement'!N21</f>
        <v>-69000</v>
      </c>
    </row>
    <row r="8" spans="1:15" x14ac:dyDescent="0.25">
      <c r="A8" s="1" t="s">
        <v>184</v>
      </c>
      <c r="E8" s="49">
        <f>'Cash Flow Statement'!N14</f>
        <v>-512186.5</v>
      </c>
      <c r="G8" s="49">
        <f>'Cash Flow Statement'!AA14</f>
        <v>51781</v>
      </c>
      <c r="I8" s="49">
        <f>'Cash Flow Statement'!AF14</f>
        <v>1106225.25</v>
      </c>
      <c r="K8" s="49">
        <f>'Cash Flow Statement'!AK14</f>
        <v>2739653.2</v>
      </c>
      <c r="M8" s="49">
        <f>'Cash Flow Statement'!AL14</f>
        <v>3978954.4000000004</v>
      </c>
    </row>
    <row r="10" spans="1:15" x14ac:dyDescent="0.25">
      <c r="A10" s="1" t="s">
        <v>185</v>
      </c>
      <c r="G10" s="49">
        <f>'Cash Flow Statement'!AA21</f>
        <v>-2500</v>
      </c>
      <c r="I10" s="49">
        <f>'Cash Flow Statement'!AF21</f>
        <v>-4500</v>
      </c>
      <c r="K10" s="49">
        <f>'Cash Flow Statement'!AK21</f>
        <v>-16000</v>
      </c>
      <c r="M10" s="49">
        <f>'Cash Flow Statement'!AL21</f>
        <v>-4500</v>
      </c>
    </row>
    <row r="12" spans="1:15" x14ac:dyDescent="0.25">
      <c r="A12" s="1" t="s">
        <v>186</v>
      </c>
      <c r="C12" s="34"/>
      <c r="D12" s="34"/>
      <c r="E12" s="44">
        <f>-'Cash Flow Statement'!N27</f>
        <v>0</v>
      </c>
      <c r="F12" s="34"/>
      <c r="G12" s="44">
        <f>-'Cash Flow Statement'!Z27</f>
        <v>0</v>
      </c>
      <c r="H12" s="34"/>
      <c r="I12" s="44">
        <f>-'Cash Flow Statement'!AF27</f>
        <v>0</v>
      </c>
      <c r="J12" s="34"/>
      <c r="K12" s="44">
        <f>-'Cash Flow Statement'!AK27</f>
        <v>0</v>
      </c>
      <c r="L12" s="44"/>
      <c r="M12" s="44">
        <f>-'Cash Flow Statement'!AL27</f>
        <v>0</v>
      </c>
    </row>
    <row r="14" spans="1:15" ht="16.5" thickBot="1" x14ac:dyDescent="0.3">
      <c r="A14" s="1" t="s">
        <v>187</v>
      </c>
      <c r="C14" s="88">
        <f>SUM(C6:C13)</f>
        <v>-69000</v>
      </c>
      <c r="E14" s="88">
        <f>SUM(E6:E13)</f>
        <v>-512186.5</v>
      </c>
      <c r="G14" s="88">
        <f>SUM(G6:G13)</f>
        <v>49281</v>
      </c>
      <c r="I14" s="88">
        <f>SUM(I6:I13)</f>
        <v>1101725.25</v>
      </c>
      <c r="K14" s="88">
        <f>SUM(K6:K13)</f>
        <v>2723653.2</v>
      </c>
      <c r="M14" s="88">
        <f>SUM(M6:M13)</f>
        <v>3974454.4000000004</v>
      </c>
      <c r="O14" s="88">
        <f>ROUND((M14*(1+E25))/(C23-E25),0)</f>
        <v>11923363</v>
      </c>
    </row>
    <row r="15" spans="1:15" ht="16.5" thickTop="1" x14ac:dyDescent="0.25"/>
    <row r="16" spans="1:15" ht="16.5" thickBot="1" x14ac:dyDescent="0.3">
      <c r="A16" s="1" t="s">
        <v>188</v>
      </c>
      <c r="C16" s="88">
        <f>C14/(1+C23)^0</f>
        <v>-69000</v>
      </c>
      <c r="E16" s="88">
        <f>E14/(1+$C$23)^1</f>
        <v>-365847.5</v>
      </c>
      <c r="G16" s="88">
        <f>G14/(1+$C$23)^2</f>
        <v>25143.36734693878</v>
      </c>
      <c r="I16" s="88">
        <f>I14/(1+$C$23)^3</f>
        <v>401503.37099125376</v>
      </c>
      <c r="K16" s="88">
        <f>K14/(1+$C$23)^4</f>
        <v>708989.27530195774</v>
      </c>
      <c r="M16" s="88">
        <f>M14/(1+$C$23)^5</f>
        <v>738987.92169929226</v>
      </c>
      <c r="O16" s="88">
        <f>O14/(1+$C$23)^5</f>
        <v>2216963.7279109904</v>
      </c>
    </row>
    <row r="17" spans="1:9" ht="16.5" thickTop="1" x14ac:dyDescent="0.25"/>
    <row r="18" spans="1:9" ht="16.5" thickBot="1" x14ac:dyDescent="0.3">
      <c r="A18" s="30" t="s">
        <v>189</v>
      </c>
      <c r="B18" s="30"/>
      <c r="C18" s="104">
        <f>SUM(C16:O16)</f>
        <v>3656740.1632504328</v>
      </c>
    </row>
    <row r="19" spans="1:9" ht="16.5" thickTop="1" x14ac:dyDescent="0.25">
      <c r="C19" s="49"/>
    </row>
    <row r="20" spans="1:9" ht="16.5" thickBot="1" x14ac:dyDescent="0.3">
      <c r="A20" s="30" t="s">
        <v>190</v>
      </c>
      <c r="B20" s="30"/>
      <c r="C20" s="105">
        <f>'Balance Sheet'!C41/Valuation!C18</f>
        <v>0.18459063807257242</v>
      </c>
      <c r="E20" s="1" t="s">
        <v>191</v>
      </c>
      <c r="I20" s="1" t="s">
        <v>192</v>
      </c>
    </row>
    <row r="21" spans="1:9" ht="16.5" thickTop="1" x14ac:dyDescent="0.25">
      <c r="C21" s="106"/>
    </row>
    <row r="23" spans="1:9" ht="16.5" thickBot="1" x14ac:dyDescent="0.3">
      <c r="A23" s="1" t="s">
        <v>193</v>
      </c>
      <c r="C23" s="103">
        <v>0.4</v>
      </c>
    </row>
    <row r="24" spans="1:9" ht="16.5" thickTop="1" x14ac:dyDescent="0.25"/>
    <row r="25" spans="1:9" ht="16.5" thickBot="1" x14ac:dyDescent="0.3">
      <c r="A25" s="1" t="s">
        <v>194</v>
      </c>
      <c r="E25" s="103">
        <v>0.05</v>
      </c>
    </row>
    <row r="26" spans="1:9" ht="16.5" thickTop="1" x14ac:dyDescent="0.25"/>
  </sheetData>
  <mergeCells count="2">
    <mergeCell ref="B1:O1"/>
    <mergeCell ref="B2:O2"/>
  </mergeCells>
  <pageMargins left="0.7" right="0.7" top="0.75" bottom="0.75" header="0.3" footer="0.3"/>
  <pageSetup scale="55"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How to use this template.</vt:lpstr>
      <vt:lpstr>Income Statement Assumptions</vt:lpstr>
      <vt:lpstr>Balance Sheet Assumptions</vt:lpstr>
      <vt:lpstr>Fixed Asset Assumptions</vt:lpstr>
      <vt:lpstr>Income Statement</vt:lpstr>
      <vt:lpstr>Statement of Retained Earnings</vt:lpstr>
      <vt:lpstr>Balance Sheet</vt:lpstr>
      <vt:lpstr>Cash Flow Statement</vt:lpstr>
      <vt:lpstr>Valuation</vt:lpstr>
      <vt:lpstr>'Balance Sheet'!Print_Area</vt:lpstr>
      <vt:lpstr>'Cash Flow Statement'!Print_Area</vt:lpstr>
      <vt:lpstr>'Income Statement'!Print_Area</vt:lpstr>
      <vt:lpstr>'Statement of Retained Earnings'!Print_Area</vt:lpstr>
      <vt:lpstr>'Balance Sheet'!Print_Titles</vt:lpstr>
      <vt:lpstr>'Cash Flow Statement'!Print_Titles</vt:lpstr>
      <vt:lpstr>'Income Statement'!Print_Titles</vt:lpstr>
      <vt:lpstr>'Statement of Retained Earnings'!Print_Titles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Superman</dc:creator>
  <cp:keywords/>
  <dc:description/>
  <cp:lastModifiedBy>Ken Walsleben</cp:lastModifiedBy>
  <cp:revision/>
  <dcterms:created xsi:type="dcterms:W3CDTF">2017-03-19T13:17:59Z</dcterms:created>
  <dcterms:modified xsi:type="dcterms:W3CDTF">2025-04-03T16:52:28Z</dcterms:modified>
  <cp:category/>
  <cp:contentStatus/>
</cp:coreProperties>
</file>